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ltofi-my.sharepoint.com/personal/marco_mimosoacurcio_aalto_fi/Documents/# Extracurricular/REXUS/PCB_power/star-d_power/"/>
    </mc:Choice>
  </mc:AlternateContent>
  <xr:revisionPtr revIDLastSave="526" documentId="8_{3E2A6F34-C78F-49A9-B1A7-1EECFF1B3879}" xr6:coauthVersionLast="47" xr6:coauthVersionMax="47" xr10:uidLastSave="{88AA888D-5662-4B80-8386-9B6903AF0B0B}"/>
  <bookViews>
    <workbookView xWindow="-120" yWindow="-120" windowWidth="29040" windowHeight="15720" activeTab="1" xr2:uid="{1F69F9DA-BABA-4E3F-8ACC-87F7D9F4743F}"/>
  </bookViews>
  <sheets>
    <sheet name="Folha1" sheetId="1" r:id="rId1"/>
    <sheet name="Fo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K3" i="2"/>
  <c r="G25" i="1"/>
  <c r="I25" i="1"/>
  <c r="J22" i="1"/>
  <c r="K21" i="1"/>
  <c r="K20" i="1"/>
  <c r="I9" i="1"/>
  <c r="I10" i="1" s="1"/>
  <c r="I15" i="1"/>
  <c r="I8" i="1"/>
  <c r="I6" i="1"/>
  <c r="I5" i="1"/>
  <c r="C9" i="1"/>
  <c r="I4" i="1"/>
  <c r="I2" i="1"/>
  <c r="I3" i="1" s="1"/>
</calcChain>
</file>

<file path=xl/sharedStrings.xml><?xml version="1.0" encoding="utf-8"?>
<sst xmlns="http://schemas.openxmlformats.org/spreadsheetml/2006/main" count="222" uniqueCount="180">
  <si>
    <t>VIN</t>
  </si>
  <si>
    <t>VOUT</t>
  </si>
  <si>
    <t>D</t>
  </si>
  <si>
    <t>fSW</t>
  </si>
  <si>
    <t>DeltaVIN</t>
  </si>
  <si>
    <t>eff</t>
  </si>
  <si>
    <t>CIN</t>
  </si>
  <si>
    <t>IOUTMAX</t>
  </si>
  <si>
    <t>K</t>
  </si>
  <si>
    <t>L</t>
  </si>
  <si>
    <t>V</t>
  </si>
  <si>
    <t>Hz</t>
  </si>
  <si>
    <t>A</t>
  </si>
  <si>
    <t>uF</t>
  </si>
  <si>
    <t>uH</t>
  </si>
  <si>
    <t>COUT</t>
  </si>
  <si>
    <t>fc</t>
  </si>
  <si>
    <t>tresponse</t>
  </si>
  <si>
    <t>ISTEP</t>
  </si>
  <si>
    <t>LSEL</t>
  </si>
  <si>
    <t>COUTSEL</t>
  </si>
  <si>
    <t>DeltaVOUT</t>
  </si>
  <si>
    <t>CSS</t>
  </si>
  <si>
    <t>pF</t>
  </si>
  <si>
    <t>RUVLTOP</t>
  </si>
  <si>
    <t>MR</t>
  </si>
  <si>
    <t>VENR</t>
  </si>
  <si>
    <t>VINU</t>
  </si>
  <si>
    <t>RUVLBOT</t>
  </si>
  <si>
    <t>kR</t>
  </si>
  <si>
    <t>RFBTOP</t>
  </si>
  <si>
    <t>RFBBOT</t>
  </si>
  <si>
    <t>Designator</t>
  </si>
  <si>
    <t>Amount</t>
  </si>
  <si>
    <t>R/L/C</t>
  </si>
  <si>
    <t>Others</t>
  </si>
  <si>
    <t>Component</t>
  </si>
  <si>
    <t>Link</t>
  </si>
  <si>
    <t>MAX17639AFN+</t>
  </si>
  <si>
    <t xml:space="preserve">https://www.mouser.fr/ProductDetail/Analog-Devices-Maxim-Integrated/MAX17639AFN+?qs=sGAEpiMZZMsMIqGZiACxIS3i2NgsXRVZikVM6BKoUdllzkQtO9PRMg%3D%3D </t>
  </si>
  <si>
    <t>V min</t>
  </si>
  <si>
    <t>CRCW06033M32FKEA</t>
  </si>
  <si>
    <t>Size</t>
  </si>
  <si>
    <t>0603</t>
  </si>
  <si>
    <t xml:space="preserve">https://www.mouser.fr/ProductDetail/Vishay/CRCW06033M32FKEA?qs=sGAEpiMZZMvdGkrng054t9utYoUyk0y%252BChV3XT4sIOI%3D </t>
  </si>
  <si>
    <t>Price/un</t>
  </si>
  <si>
    <t>R2_1</t>
  </si>
  <si>
    <t>R2_2</t>
  </si>
  <si>
    <t>R2_3</t>
  </si>
  <si>
    <t>3.32 Mohm</t>
  </si>
  <si>
    <t>1.5 Mohm</t>
  </si>
  <si>
    <t>825 kohm</t>
  </si>
  <si>
    <t>R3_1</t>
  </si>
  <si>
    <t>R3_2</t>
  </si>
  <si>
    <t>R3_3</t>
  </si>
  <si>
    <t>158 kohm</t>
  </si>
  <si>
    <t>249 kohm</t>
  </si>
  <si>
    <t>R4_1</t>
  </si>
  <si>
    <t>R4_2</t>
  </si>
  <si>
    <t>R4_3</t>
  </si>
  <si>
    <t>34.8 kohm</t>
  </si>
  <si>
    <t>34 kohm</t>
  </si>
  <si>
    <t>75 kohm</t>
  </si>
  <si>
    <t>20 kohm</t>
  </si>
  <si>
    <t>CRCW06031M50FKEA</t>
  </si>
  <si>
    <t xml:space="preserve">https://www.mouser.fr/ProductDetail/Vishay/CRCW06031M50FKEA?qs=sGAEpiMZZMvdGkrng054t9utYoUyk0y%252BdA4jUQEVVdE%3D </t>
  </si>
  <si>
    <t>CRCW0603825KFKEA</t>
  </si>
  <si>
    <t xml:space="preserve">https://www.mouser.fr/ProductDetail/Vishay/CRCW0603825KFKEA?qs=p2bJuJLPpvQJv%252BSX6BCMUg%3D%3D </t>
  </si>
  <si>
    <t>CRCW0603158KFKEA</t>
  </si>
  <si>
    <t xml:space="preserve">https://www.mouser.fr/ProductDetail/Vishay/CRCW0603158KFKEA?qs=5N7VPDfziMSpEbCL%252B8rPOw%3D%3D </t>
  </si>
  <si>
    <t xml:space="preserve">https://www.mouser.fr/ProductDetail/Vishay/CRCW0603249KFKEA?qs=mhqxD2tmD97uUS1nIJhakQ%3D%3D </t>
  </si>
  <si>
    <t>CRCW0603249KFKEA</t>
  </si>
  <si>
    <t>R1_[1..3]</t>
  </si>
  <si>
    <t>R5_[1..3]</t>
  </si>
  <si>
    <t>R6_[1..3]</t>
  </si>
  <si>
    <t>IC[1..3]</t>
  </si>
  <si>
    <t>CRCW060334K8FKEA</t>
  </si>
  <si>
    <t xml:space="preserve">https://www.mouser.fr/ProductDetail/Vishay/CRCW060334K8FKEA?qs=68g8TF7PocIAjJxcXJVf9g%3D%3D </t>
  </si>
  <si>
    <t>CRCW060334K0FKEA</t>
  </si>
  <si>
    <t>CRCW060375K0FKEA</t>
  </si>
  <si>
    <t>CRCW060320K0FKEA</t>
  </si>
  <si>
    <t xml:space="preserve">https://www.mouser.fr/ProductDetail/Vishay/CRCW060334K0FKEA?qs=9%2FCyznrMg3XHBoGG%2FQg7oQ%3D%3D </t>
  </si>
  <si>
    <t>https://www.mouser.fr/ProductDetail/Vishay/CRCW060375K0FKEA?qs=rTzW0HAgjYM2sBnUIlegvw%3D%3D</t>
  </si>
  <si>
    <t xml:space="preserve">https://www.mouser.fr/ProductDetail/Vishay/CRCW060320K0FKEA?qs=QZuYiDxzHajCQLs7n6RwKw%3D%3D </t>
  </si>
  <si>
    <t>L1</t>
  </si>
  <si>
    <t>3.3 uH</t>
  </si>
  <si>
    <t>2.2 uH</t>
  </si>
  <si>
    <t>3.3V</t>
  </si>
  <si>
    <t>5V</t>
  </si>
  <si>
    <t>12V</t>
  </si>
  <si>
    <t xml:space="preserve">https://www.digikey.fr/en/products/detail/coilcraft/XGL1010-332MED/21387582?s=N4IgTCBcDaIBoHEAyBGADOgtAZm2AsgKIAiIAugL5A </t>
  </si>
  <si>
    <t>XGL1010-332MED</t>
  </si>
  <si>
    <t>XGL1010-222MED</t>
  </si>
  <si>
    <t>https://www.digikey.fr/en/products/detail/coilcraft/XGL1010-222MED/21387621?s=N4IgTCBcDaIBoHEAyBGADOgtGHBZAogCIgC6AvkA</t>
  </si>
  <si>
    <t>C1_[1..18]</t>
  </si>
  <si>
    <t>C2_[1..3]</t>
  </si>
  <si>
    <t>C3_[1..3]</t>
  </si>
  <si>
    <t>4.7 uF</t>
  </si>
  <si>
    <t>8200 pF</t>
  </si>
  <si>
    <t>28V</t>
  </si>
  <si>
    <t>1.8V</t>
  </si>
  <si>
    <t>100 nF</t>
  </si>
  <si>
    <t>C5_[1..6]</t>
  </si>
  <si>
    <t>47 uF</t>
  </si>
  <si>
    <t>C5_[7..9]</t>
  </si>
  <si>
    <t>GRM32ER71A476KE15L</t>
  </si>
  <si>
    <t>1210</t>
  </si>
  <si>
    <t>https://www.digikey.de/de/products/detail/murata-electronics/GRM188Z71A475ME15D/13904814</t>
  </si>
  <si>
    <t>GRM188Z71A475ME15D</t>
  </si>
  <si>
    <t>GRM31CR71H475KA12L</t>
  </si>
  <si>
    <t>1206</t>
  </si>
  <si>
    <t xml:space="preserve">https://www.digikey.de/de/products/detail/murata-electronics/GRM31CR71H475KA12L/2548209 </t>
  </si>
  <si>
    <t>2220</t>
  </si>
  <si>
    <t>CGA9N3X7R1E476M230KB</t>
  </si>
  <si>
    <t xml:space="preserve">https://www.mouser.de/ProductDetail/TDK/CGA9N3X7R1E476M230KB?qs=sGAEpiMZZMvsSlwiRhF8qkR4BWuW5RIQIOthJMM6qZxpKYlC4RJIMQ%3D%3D </t>
  </si>
  <si>
    <t>X7R</t>
  </si>
  <si>
    <t xml:space="preserve">https://www.digikey.be/de/products/detail/murata-electronics/GRM32ER71A476KE15L/2039039 </t>
  </si>
  <si>
    <t xml:space="preserve">https://www.mouser.fr/ProductDetail/Vishay-Vitramon/VJ0603Y822KXAAC?qs=sGAEpiMZZMvsSlwiRhF8qsy6D4RIz3svHH6F26SGKQI%3D </t>
  </si>
  <si>
    <t>VJ0603Y822KXAAC</t>
  </si>
  <si>
    <t>C0603C104K3RAC7411</t>
  </si>
  <si>
    <t xml:space="preserve">https://www.mouser.fr/ProductDetail/KEMET/C0603C104K3RAC7411?qs=sGAEpiMZZMvsSlwiRhF8qtMAW1uaXrptnL6k6SP7Y74%3D </t>
  </si>
  <si>
    <t>D[1..3]</t>
  </si>
  <si>
    <t>RLED_1</t>
  </si>
  <si>
    <t>RLED_2</t>
  </si>
  <si>
    <t>RLED_3</t>
  </si>
  <si>
    <t>604 ohm</t>
  </si>
  <si>
    <t>261 ohm</t>
  </si>
  <si>
    <t xml:space="preserve">https://www.mouser.fr/ProductDetail/Panasonic/ERJ-PA3D6040V?qs=BzJM0faLVqVr6j5%252BuCH0wQ%3D%3D </t>
  </si>
  <si>
    <t>ERJ-PA3D6040V</t>
  </si>
  <si>
    <t>ERJ-PA3F2610V</t>
  </si>
  <si>
    <t>https://www.mouser.fr/ProductDetail/Panasonic/ERJ-PA3F2610V?qs=BzJM0faLVqWOtl0KpXWkew%3D%3D</t>
  </si>
  <si>
    <t>LTST-C191KFKT</t>
  </si>
  <si>
    <t>LED</t>
  </si>
  <si>
    <t>FL1</t>
  </si>
  <si>
    <t>215uH</t>
  </si>
  <si>
    <t>CMC</t>
  </si>
  <si>
    <t>PA2754NL</t>
  </si>
  <si>
    <t xml:space="preserve">https://www.mouser.fr/ProductDetail/Pulse-Electronics/PA2754NL?qs=%252BUGZmmosPSIl0ME75doAGQ%3D%3D </t>
  </si>
  <si>
    <t>LF1</t>
  </si>
  <si>
    <t>CF1</t>
  </si>
  <si>
    <t>1uF</t>
  </si>
  <si>
    <t>SRP2313AA-101M</t>
  </si>
  <si>
    <t>100uH</t>
  </si>
  <si>
    <t>https://www.mouser.fr/ProductDetail/Bourns/SRP2313AA-101M?qs=gZXFycFWdANfITbqx%252BPtOw%3D%3D</t>
  </si>
  <si>
    <t>C3216X7R1H105K160AB</t>
  </si>
  <si>
    <t xml:space="preserve">https://www.mouser.fr/ProductDetail/TDK/C3216X7R1H105K160AB?qs=sGAEpiMZZMvsSlwiRhF8qsDt8B2LujiHm%2F5AL3RthE8%3D </t>
  </si>
  <si>
    <t>7V</t>
  </si>
  <si>
    <t>L[2,3]</t>
  </si>
  <si>
    <t>https://www.mouser.fr/ProductDetail/Vishay/CRCW0603604KFKEA?qs=ze%252BM7jRK1VYKCr%2Fok50BCw%3D%3D</t>
  </si>
  <si>
    <t>604 kohm</t>
  </si>
  <si>
    <t>CRCW0603604KFKEA</t>
  </si>
  <si>
    <t>9.76 kohm</t>
  </si>
  <si>
    <t>CRCW06039K76FKEA</t>
  </si>
  <si>
    <t xml:space="preserve">https://www.mouser.fr/ProductDetail/Vishay/CRCW06039K76FKEA?qs=yf2sAwiRN649TjJ%2FhlEI1Q%3D%3D </t>
  </si>
  <si>
    <t>105 kohm</t>
  </si>
  <si>
    <t>CRCW0603105KFKEA</t>
  </si>
  <si>
    <t xml:space="preserve">https://www.mouser.fr/ProductDetail/Vishay/CRCW0603105KFKEA?qs=l1I5L%2FyVolijl%252Bqg9cSIKQ%3D%3D </t>
  </si>
  <si>
    <t xml:space="preserve">https://www.mouser.fr/ProductDetail/LITEON/LTST-C191KFKT?qs=sGAEpiMZZMv0DJfhVcWlKzPaVbnPffcwrhTtPymJX2Y%3D </t>
  </si>
  <si>
    <t>1 kohm</t>
  </si>
  <si>
    <t>ERJ-PA3J102V</t>
  </si>
  <si>
    <t>CFT[1..4]</t>
  </si>
  <si>
    <t>feed-through</t>
  </si>
  <si>
    <t>NFM18CC221R1C3D</t>
  </si>
  <si>
    <t>220pF</t>
  </si>
  <si>
    <t xml:space="preserve">https://www.mouser.fr/ProductDetail/Murata-Electronics/NFM18CC221R1C3D?qs=0j%2FqW2fzXq8leLhxLw8kvg%3D%3D </t>
  </si>
  <si>
    <t>C4_[1..3], CD_[1,2]</t>
  </si>
  <si>
    <t>LD15P33E4GX00LF</t>
  </si>
  <si>
    <t>Dsub-15, right-angle, male</t>
  </si>
  <si>
    <t>Total/PCB</t>
  </si>
  <si>
    <t xml:space="preserve">https://www.mouser.fr/ProductDetail/Panasonic/ERJ-PA3J102V?qs=BzJM0faLVqWUoK2brnXytQ%3D%3D </t>
  </si>
  <si>
    <t xml:space="preserve">https://www.mouser.fr/ProductDetail/Amphenol-Commercial-Products/LD15P33E4GX00LF?qs=tZOhSuJQg1lUHGna%252BrXX2w%3D%3D </t>
  </si>
  <si>
    <t>J4</t>
  </si>
  <si>
    <t>J5</t>
  </si>
  <si>
    <t>Dsub-15, right-angle, female</t>
  </si>
  <si>
    <t>LD15S33E4GV00LF</t>
  </si>
  <si>
    <t xml:space="preserve">https://www.mouser.fr/ProductDetail/Amphenol-Commercial-Products/LD15S33E4GV00LF?qs=tZOhSuJQg1mwdHXzYsS27Q%3D%3D </t>
  </si>
  <si>
    <t>J[1..3]</t>
  </si>
  <si>
    <t>horizontal power</t>
  </si>
  <si>
    <t>43650-0200</t>
  </si>
  <si>
    <t xml:space="preserve">https://www.mouser.fr/ProductDetail/Molex/43650-0200?qs=HlEFOAM0q6XGaAJJj3Pssw%3D%3D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</si>
</sst>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0" fontId="3" fillId="0" borderId="0" xfId="2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44" fontId="2" fillId="0" borderId="0" xfId="1" applyFont="1"/>
    <xf numFmtId="44" fontId="1" fillId="0" borderId="0" xfId="1" applyFont="1"/>
    <xf numFmtId="0" fontId="5" fillId="0" borderId="0" xfId="0" applyFont="1"/>
  </cellXfs>
  <cellStyles count="3">
    <cellStyle name="Hiperligação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fr/ProductDetail/Vishay/CRCW060334K0FKEA?qs=9%2FCyznrMg3XHBoGG%2FQg7oQ%3D%3D" TargetMode="External"/><Relationship Id="rId13" Type="http://schemas.openxmlformats.org/officeDocument/2006/relationships/hyperlink" Target="https://www.digikey.de/de/products/detail/murata-electronics/GRM188Z71A475ME15D/13904814" TargetMode="External"/><Relationship Id="rId18" Type="http://schemas.openxmlformats.org/officeDocument/2006/relationships/hyperlink" Target="https://www.mouser.fr/ProductDetail/KEMET/C0603C104K3RAC7411?qs=sGAEpiMZZMvsSlwiRhF8qtMAW1uaXrptnL6k6SP7Y74%3D" TargetMode="External"/><Relationship Id="rId26" Type="http://schemas.openxmlformats.org/officeDocument/2006/relationships/hyperlink" Target="https://www.mouser.fr/ProductDetail/Panasonic/ERJ-PA3F2610V?qs=BzJM0faLVqWOtl0KpXWkew%3D%3D" TargetMode="External"/><Relationship Id="rId3" Type="http://schemas.openxmlformats.org/officeDocument/2006/relationships/hyperlink" Target="https://www.mouser.fr/ProductDetail/Vishay/CRCW06031M50FKEA?qs=sGAEpiMZZMvdGkrng054t9utYoUyk0y%252BdA4jUQEVVdE%3D" TargetMode="External"/><Relationship Id="rId21" Type="http://schemas.openxmlformats.org/officeDocument/2006/relationships/hyperlink" Target="https://www.mouser.fr/ProductDetail/Bourns/SRP2313AA-101M?qs=gZXFycFWdANfITbqx%252BPtOw%3D%3D" TargetMode="External"/><Relationship Id="rId7" Type="http://schemas.openxmlformats.org/officeDocument/2006/relationships/hyperlink" Target="https://www.mouser.fr/ProductDetail/Vishay/CRCW060334K8FKEA?qs=68g8TF7PocIAjJxcXJVf9g%3D%3D" TargetMode="External"/><Relationship Id="rId12" Type="http://schemas.openxmlformats.org/officeDocument/2006/relationships/hyperlink" Target="https://www.digikey.fr/en/products/detail/coilcraft/XGL1010-222MED/21387621?s=N4IgTCBcDaIBoHEAyBGADOgtGHBZAogCIgC6AvkA" TargetMode="External"/><Relationship Id="rId17" Type="http://schemas.openxmlformats.org/officeDocument/2006/relationships/hyperlink" Target="https://www.mouser.fr/ProductDetail/Vishay-Vitramon/VJ0603Y822KXAAC?qs=sGAEpiMZZMvsSlwiRhF8qsy6D4RIz3svHH6F26SGKQI%3D" TargetMode="External"/><Relationship Id="rId25" Type="http://schemas.openxmlformats.org/officeDocument/2006/relationships/hyperlink" Target="https://www.mouser.fr/ProductDetail/LITEON/LTST-C191KFKT?qs=sGAEpiMZZMv0DJfhVcWlKzPaVbnPffcwrhTtPymJX2Y%3D" TargetMode="External"/><Relationship Id="rId2" Type="http://schemas.openxmlformats.org/officeDocument/2006/relationships/hyperlink" Target="https://www.mouser.fr/ProductDetail/Vishay/CRCW06033M32FKEA?qs=sGAEpiMZZMvdGkrng054t9utYoUyk0y%252BChV3XT4sIOI%3D" TargetMode="External"/><Relationship Id="rId16" Type="http://schemas.openxmlformats.org/officeDocument/2006/relationships/hyperlink" Target="https://www.digikey.be/de/products/detail/murata-electronics/GRM32ER71A476KE15L/2039039" TargetMode="External"/><Relationship Id="rId20" Type="http://schemas.openxmlformats.org/officeDocument/2006/relationships/hyperlink" Target="https://www.mouser.fr/ProductDetail/Pulse-Electronics/PA2754NL?qs=%252BUGZmmosPSIl0ME75doAGQ%3D%3D" TargetMode="External"/><Relationship Id="rId29" Type="http://schemas.openxmlformats.org/officeDocument/2006/relationships/hyperlink" Target="https://www.mouser.fr/ProductDetail/Amphenol-Commercial-Products/LD15P33E4GX00LF?qs=tZOhSuJQg1lUHGna%252BrXX2w%3D%3D" TargetMode="External"/><Relationship Id="rId1" Type="http://schemas.openxmlformats.org/officeDocument/2006/relationships/hyperlink" Target="https://www.mouser.fr/ProductDetail/Analog-Devices-Maxim-Integrated/MAX17639AFN+?qs=sGAEpiMZZMsMIqGZiACxIS3i2NgsXRVZikVM6BKoUdllzkQtO9PRMg%3D%3D" TargetMode="External"/><Relationship Id="rId6" Type="http://schemas.openxmlformats.org/officeDocument/2006/relationships/hyperlink" Target="https://www.mouser.fr/ProductDetail/Vishay/CRCW0603249KFKEA?qs=mhqxD2tmD97uUS1nIJhakQ%3D%3D" TargetMode="External"/><Relationship Id="rId11" Type="http://schemas.openxmlformats.org/officeDocument/2006/relationships/hyperlink" Target="https://www.digikey.fr/en/products/detail/coilcraft/XGL1010-332MED/21387582?s=N4IgTCBcDaIBoHEAyBGADOgtAZm2AsgKIAiIAugL5A" TargetMode="External"/><Relationship Id="rId24" Type="http://schemas.openxmlformats.org/officeDocument/2006/relationships/hyperlink" Target="https://www.mouser.fr/ProductDetail/Vishay/CRCW0603105KFKEA?qs=l1I5L%2FyVolijl%252Bqg9cSIKQ%3D%3D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mouser.fr/ProductDetail/Vishay/CRCW0603158KFKEA?qs=5N7VPDfziMSpEbCL%252B8rPOw%3D%3D" TargetMode="External"/><Relationship Id="rId15" Type="http://schemas.openxmlformats.org/officeDocument/2006/relationships/hyperlink" Target="https://www.mouser.de/ProductDetail/TDK/CGA9N3X7R1E476M230KB?qs=sGAEpiMZZMvsSlwiRhF8qkR4BWuW5RIQIOthJMM6qZxpKYlC4RJIMQ%3D%3D" TargetMode="External"/><Relationship Id="rId23" Type="http://schemas.openxmlformats.org/officeDocument/2006/relationships/hyperlink" Target="https://www.mouser.fr/ProductDetail/Vishay/CRCW06039K76FKEA?qs=yf2sAwiRN649TjJ%2FhlEI1Q%3D%3D" TargetMode="External"/><Relationship Id="rId28" Type="http://schemas.openxmlformats.org/officeDocument/2006/relationships/hyperlink" Target="https://www.mouser.fr/ProductDetail/Panasonic/ERJ-PA3J102V?qs=BzJM0faLVqWUoK2brnXytQ%3D%3D" TargetMode="External"/><Relationship Id="rId10" Type="http://schemas.openxmlformats.org/officeDocument/2006/relationships/hyperlink" Target="https://www.mouser.fr/ProductDetail/Vishay/CRCW060320K0FKEA?qs=QZuYiDxzHajCQLs7n6RwKw%3D%3D" TargetMode="External"/><Relationship Id="rId19" Type="http://schemas.openxmlformats.org/officeDocument/2006/relationships/hyperlink" Target="https://www.mouser.fr/ProductDetail/Panasonic/ERJ-PA3D6040V?qs=BzJM0faLVqVr6j5%252BuCH0wQ%3D%3D" TargetMode="External"/><Relationship Id="rId31" Type="http://schemas.openxmlformats.org/officeDocument/2006/relationships/hyperlink" Target="https://www.mouser.fr/ProductDetail/Molex/43650-0200?qs=HlEFOAM0q6XGaAJJj3Pssw%3D%3D" TargetMode="External"/><Relationship Id="rId4" Type="http://schemas.openxmlformats.org/officeDocument/2006/relationships/hyperlink" Target="https://www.mouser.fr/ProductDetail/Vishay/CRCW0603825KFKEA?qs=p2bJuJLPpvQJv%252BSX6BCMUg%3D%3D" TargetMode="External"/><Relationship Id="rId9" Type="http://schemas.openxmlformats.org/officeDocument/2006/relationships/hyperlink" Target="https://www.mouser.fr/ProductDetail/Vishay/CRCW060375K0FKEA?qs=rTzW0HAgjYM2sBnUIlegvw%3D%3D" TargetMode="External"/><Relationship Id="rId14" Type="http://schemas.openxmlformats.org/officeDocument/2006/relationships/hyperlink" Target="https://www.digikey.de/de/products/detail/murata-electronics/GRM31CR71H475KA12L/2548209" TargetMode="External"/><Relationship Id="rId22" Type="http://schemas.openxmlformats.org/officeDocument/2006/relationships/hyperlink" Target="https://www.mouser.fr/ProductDetail/TDK/C3216X7R1H105K160AB?qs=sGAEpiMZZMvsSlwiRhF8qsDt8B2LujiHm%2F5AL3RthE8%3D" TargetMode="External"/><Relationship Id="rId27" Type="http://schemas.openxmlformats.org/officeDocument/2006/relationships/hyperlink" Target="https://www.mouser.fr/ProductDetail/Murata-Electronics/NFM18CC221R1C3D?qs=0j%2FqW2fzXq8leLhxLw8kvg%3D%3D" TargetMode="External"/><Relationship Id="rId30" Type="http://schemas.openxmlformats.org/officeDocument/2006/relationships/hyperlink" Target="https://www.mouser.fr/ProductDetail/Amphenol-Commercial-Products/LD15S33E4GV00LF?qs=tZOhSuJQg1mwdHXzYsS27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BC78-1B9C-4959-B6CC-FE6F28F41B83}">
  <dimension ref="B2:N25"/>
  <sheetViews>
    <sheetView workbookViewId="0">
      <selection activeCell="J17" sqref="J17"/>
    </sheetView>
  </sheetViews>
  <sheetFormatPr defaultRowHeight="15" x14ac:dyDescent="0.25"/>
  <cols>
    <col min="9" max="9" width="12" bestFit="1" customWidth="1"/>
  </cols>
  <sheetData>
    <row r="2" spans="2:14" x14ac:dyDescent="0.25">
      <c r="B2" t="s">
        <v>0</v>
      </c>
      <c r="C2">
        <v>28</v>
      </c>
      <c r="D2" t="s">
        <v>10</v>
      </c>
      <c r="H2" t="s">
        <v>2</v>
      </c>
      <c r="I2">
        <f>C3/C2</f>
        <v>0.25</v>
      </c>
    </row>
    <row r="3" spans="2:14" x14ac:dyDescent="0.25">
      <c r="B3" t="s">
        <v>1</v>
      </c>
      <c r="C3">
        <v>7</v>
      </c>
      <c r="D3" t="s">
        <v>10</v>
      </c>
      <c r="H3" t="s">
        <v>6</v>
      </c>
      <c r="I3">
        <f>1000000*C7*I2*(1-I2)/(C6*C4*C5)</f>
        <v>49.342105263157897</v>
      </c>
      <c r="J3" t="s">
        <v>13</v>
      </c>
    </row>
    <row r="4" spans="2:14" x14ac:dyDescent="0.25">
      <c r="B4" t="s">
        <v>3</v>
      </c>
      <c r="C4">
        <v>400000</v>
      </c>
      <c r="D4" t="s">
        <v>11</v>
      </c>
      <c r="H4" t="s">
        <v>9</v>
      </c>
      <c r="I4">
        <f>1000000*C3/(C8*C4)</f>
        <v>3.6458333333333335</v>
      </c>
      <c r="J4" t="s">
        <v>14</v>
      </c>
      <c r="L4" t="s">
        <v>19</v>
      </c>
      <c r="M4">
        <v>6.8</v>
      </c>
      <c r="N4" t="s">
        <v>14</v>
      </c>
    </row>
    <row r="5" spans="2:14" x14ac:dyDescent="0.25">
      <c r="B5" t="s">
        <v>4</v>
      </c>
      <c r="C5">
        <v>0.1</v>
      </c>
      <c r="D5" t="s">
        <v>10</v>
      </c>
      <c r="H5" t="s">
        <v>17</v>
      </c>
      <c r="I5">
        <f>0.35/C9</f>
        <v>6.9999999999999999E-6</v>
      </c>
    </row>
    <row r="6" spans="2:14" x14ac:dyDescent="0.25">
      <c r="B6" t="s">
        <v>5</v>
      </c>
      <c r="C6">
        <v>0.95</v>
      </c>
      <c r="H6" t="s">
        <v>15</v>
      </c>
      <c r="I6">
        <f>1000000*0.5*C10*I5/C11</f>
        <v>87.5</v>
      </c>
      <c r="J6" t="s">
        <v>13</v>
      </c>
      <c r="L6" t="s">
        <v>20</v>
      </c>
      <c r="M6">
        <f>3*37</f>
        <v>111</v>
      </c>
      <c r="N6" t="s">
        <v>13</v>
      </c>
    </row>
    <row r="7" spans="2:14" x14ac:dyDescent="0.25">
      <c r="B7" t="s">
        <v>7</v>
      </c>
      <c r="C7">
        <v>10</v>
      </c>
      <c r="D7" t="s">
        <v>12</v>
      </c>
      <c r="H7" t="s">
        <v>22</v>
      </c>
      <c r="I7">
        <v>8200</v>
      </c>
      <c r="J7" t="s">
        <v>23</v>
      </c>
    </row>
    <row r="8" spans="2:14" x14ac:dyDescent="0.25">
      <c r="B8" t="s">
        <v>8</v>
      </c>
      <c r="C8">
        <v>4.8</v>
      </c>
      <c r="H8" t="s">
        <v>28</v>
      </c>
      <c r="I8">
        <f>1000*C12*C13/(C14-C13)</f>
        <v>605.83941605839414</v>
      </c>
      <c r="J8" t="s">
        <v>29</v>
      </c>
    </row>
    <row r="9" spans="2:14" x14ac:dyDescent="0.25">
      <c r="B9" t="s">
        <v>16</v>
      </c>
      <c r="C9">
        <f>1/8*C4</f>
        <v>50000</v>
      </c>
      <c r="D9" t="s">
        <v>11</v>
      </c>
      <c r="H9" t="s">
        <v>30</v>
      </c>
      <c r="I9">
        <f>578/(C9*M6*0.000001)</f>
        <v>104.14414414414415</v>
      </c>
      <c r="J9" t="s">
        <v>29</v>
      </c>
      <c r="K9">
        <v>104</v>
      </c>
    </row>
    <row r="10" spans="2:14" x14ac:dyDescent="0.25">
      <c r="B10" t="s">
        <v>18</v>
      </c>
      <c r="C10">
        <v>5</v>
      </c>
      <c r="D10" t="s">
        <v>12</v>
      </c>
      <c r="H10" t="s">
        <v>31</v>
      </c>
      <c r="I10">
        <f>I9*0.6/(C3-0.6)</f>
        <v>9.7635135135135123</v>
      </c>
      <c r="J10" t="s">
        <v>29</v>
      </c>
    </row>
    <row r="11" spans="2:14" x14ac:dyDescent="0.25">
      <c r="B11" t="s">
        <v>21</v>
      </c>
      <c r="C11">
        <v>0.2</v>
      </c>
      <c r="D11" t="s">
        <v>10</v>
      </c>
    </row>
    <row r="12" spans="2:14" x14ac:dyDescent="0.25">
      <c r="B12" t="s">
        <v>24</v>
      </c>
      <c r="C12">
        <v>3.32</v>
      </c>
      <c r="D12" t="s">
        <v>25</v>
      </c>
    </row>
    <row r="13" spans="2:14" x14ac:dyDescent="0.25">
      <c r="B13" t="s">
        <v>26</v>
      </c>
      <c r="C13">
        <v>1.25</v>
      </c>
      <c r="D13" t="s">
        <v>10</v>
      </c>
      <c r="H13" t="s">
        <v>30</v>
      </c>
      <c r="I13">
        <v>105</v>
      </c>
    </row>
    <row r="14" spans="2:14" x14ac:dyDescent="0.25">
      <c r="B14" t="s">
        <v>27</v>
      </c>
      <c r="C14">
        <v>8.1</v>
      </c>
      <c r="D14" t="s">
        <v>10</v>
      </c>
      <c r="H14" t="s">
        <v>31</v>
      </c>
      <c r="I14">
        <v>9.76</v>
      </c>
    </row>
    <row r="15" spans="2:14" x14ac:dyDescent="0.25">
      <c r="H15" t="s">
        <v>1</v>
      </c>
      <c r="I15">
        <f>0.6+I13*0.6/I14</f>
        <v>7.054918032786885</v>
      </c>
    </row>
    <row r="20" spans="7:11" x14ac:dyDescent="0.25">
      <c r="I20">
        <v>98.34</v>
      </c>
      <c r="J20">
        <v>158</v>
      </c>
      <c r="K20">
        <f>J20/I20</f>
        <v>1.6066707341875126</v>
      </c>
    </row>
    <row r="21" spans="7:11" x14ac:dyDescent="0.25">
      <c r="I21">
        <v>134.16</v>
      </c>
      <c r="J21">
        <v>249</v>
      </c>
      <c r="K21">
        <f>J21/I21</f>
        <v>1.8559928443649374</v>
      </c>
    </row>
    <row r="22" spans="7:11" x14ac:dyDescent="0.25">
      <c r="I22">
        <v>104</v>
      </c>
      <c r="J22">
        <f>I22*1.7</f>
        <v>176.79999999999998</v>
      </c>
    </row>
    <row r="25" spans="7:11" x14ac:dyDescent="0.25">
      <c r="G25">
        <f>330/I13</f>
        <v>3.1428571428571428</v>
      </c>
      <c r="I25">
        <f>330/I14</f>
        <v>33.811475409836063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1204-B497-47DD-846A-7F36B71A130A}">
  <dimension ref="B2:M34"/>
  <sheetViews>
    <sheetView tabSelected="1" workbookViewId="0">
      <selection activeCell="N33" sqref="N33"/>
    </sheetView>
  </sheetViews>
  <sheetFormatPr defaultRowHeight="15" x14ac:dyDescent="0.25"/>
  <cols>
    <col min="2" max="2" width="16.42578125" bestFit="1" customWidth="1"/>
    <col min="4" max="4" width="10.42578125" customWidth="1"/>
    <col min="6" max="6" width="26.42578125" bestFit="1" customWidth="1"/>
    <col min="7" max="7" width="24.42578125" customWidth="1"/>
    <col min="8" max="8" width="11.28515625" style="3" customWidth="1"/>
    <col min="10" max="10" width="10" style="1" bestFit="1" customWidth="1"/>
    <col min="11" max="11" width="11.28515625" style="1" bestFit="1" customWidth="1"/>
  </cols>
  <sheetData>
    <row r="2" spans="2:13" s="4" customFormat="1" x14ac:dyDescent="0.25">
      <c r="B2" s="4" t="s">
        <v>32</v>
      </c>
      <c r="C2" s="4" t="s">
        <v>33</v>
      </c>
      <c r="D2" s="4" t="s">
        <v>34</v>
      </c>
      <c r="E2" s="4" t="s">
        <v>40</v>
      </c>
      <c r="F2" s="4" t="s">
        <v>35</v>
      </c>
      <c r="G2" s="4" t="s">
        <v>36</v>
      </c>
      <c r="H2" s="5" t="s">
        <v>42</v>
      </c>
      <c r="I2" s="4" t="s">
        <v>37</v>
      </c>
      <c r="J2" s="6" t="s">
        <v>45</v>
      </c>
      <c r="K2" s="6" t="s">
        <v>168</v>
      </c>
    </row>
    <row r="3" spans="2:13" x14ac:dyDescent="0.25">
      <c r="B3" t="s">
        <v>75</v>
      </c>
      <c r="C3">
        <v>3</v>
      </c>
      <c r="G3" t="s">
        <v>38</v>
      </c>
      <c r="I3" s="2" t="s">
        <v>39</v>
      </c>
      <c r="J3" s="1">
        <v>8.1300000000000008</v>
      </c>
      <c r="K3" s="1">
        <f>SUMPRODUCT(C:C,J:J)</f>
        <v>80.153999999999968</v>
      </c>
    </row>
    <row r="4" spans="2:13" x14ac:dyDescent="0.25">
      <c r="B4" t="s">
        <v>72</v>
      </c>
      <c r="C4">
        <v>3</v>
      </c>
      <c r="D4" t="s">
        <v>49</v>
      </c>
      <c r="G4" t="s">
        <v>41</v>
      </c>
      <c r="H4" s="3" t="s">
        <v>43</v>
      </c>
      <c r="I4" s="2" t="s">
        <v>44</v>
      </c>
      <c r="J4" s="1">
        <v>8.5999999999999993E-2</v>
      </c>
    </row>
    <row r="5" spans="2:13" x14ac:dyDescent="0.25">
      <c r="B5" t="s">
        <v>46</v>
      </c>
      <c r="C5">
        <v>1</v>
      </c>
      <c r="D5" t="s">
        <v>50</v>
      </c>
      <c r="G5" t="s">
        <v>64</v>
      </c>
      <c r="H5" s="3" t="s">
        <v>43</v>
      </c>
      <c r="I5" s="2" t="s">
        <v>65</v>
      </c>
      <c r="J5" s="1">
        <v>8.5999999999999993E-2</v>
      </c>
    </row>
    <row r="6" spans="2:13" x14ac:dyDescent="0.25">
      <c r="B6" t="s">
        <v>47</v>
      </c>
      <c r="C6">
        <v>1</v>
      </c>
      <c r="D6" t="s">
        <v>51</v>
      </c>
      <c r="G6" t="s">
        <v>66</v>
      </c>
      <c r="H6" s="3" t="s">
        <v>43</v>
      </c>
      <c r="I6" s="2" t="s">
        <v>67</v>
      </c>
      <c r="J6" s="1">
        <v>8.5999999999999993E-2</v>
      </c>
    </row>
    <row r="7" spans="2:13" x14ac:dyDescent="0.25">
      <c r="B7" t="s">
        <v>48</v>
      </c>
      <c r="C7">
        <v>1</v>
      </c>
      <c r="D7" t="s">
        <v>149</v>
      </c>
      <c r="G7" t="s">
        <v>150</v>
      </c>
      <c r="H7" s="3" t="s">
        <v>43</v>
      </c>
      <c r="I7" s="2" t="s">
        <v>148</v>
      </c>
      <c r="J7" s="1">
        <v>8.5999999999999993E-2</v>
      </c>
    </row>
    <row r="8" spans="2:13" x14ac:dyDescent="0.25">
      <c r="B8" t="s">
        <v>52</v>
      </c>
      <c r="C8">
        <v>1</v>
      </c>
      <c r="D8" t="s">
        <v>55</v>
      </c>
      <c r="G8" t="s">
        <v>68</v>
      </c>
      <c r="H8" s="3" t="s">
        <v>43</v>
      </c>
      <c r="I8" s="2" t="s">
        <v>69</v>
      </c>
      <c r="J8" s="1">
        <v>8.5999999999999993E-2</v>
      </c>
    </row>
    <row r="9" spans="2:13" x14ac:dyDescent="0.25">
      <c r="B9" t="s">
        <v>53</v>
      </c>
      <c r="C9">
        <v>1</v>
      </c>
      <c r="D9" t="s">
        <v>56</v>
      </c>
      <c r="G9" t="s">
        <v>71</v>
      </c>
      <c r="H9" s="3" t="s">
        <v>43</v>
      </c>
      <c r="I9" s="2" t="s">
        <v>70</v>
      </c>
      <c r="J9" s="1">
        <v>8.5999999999999993E-2</v>
      </c>
    </row>
    <row r="10" spans="2:13" x14ac:dyDescent="0.25">
      <c r="B10" t="s">
        <v>54</v>
      </c>
      <c r="C10">
        <v>1</v>
      </c>
      <c r="D10" t="s">
        <v>154</v>
      </c>
      <c r="G10" t="s">
        <v>155</v>
      </c>
      <c r="H10" s="3" t="s">
        <v>43</v>
      </c>
      <c r="I10" s="2" t="s">
        <v>156</v>
      </c>
      <c r="J10" s="1">
        <v>8.5999999999999993E-2</v>
      </c>
    </row>
    <row r="11" spans="2:13" x14ac:dyDescent="0.25">
      <c r="B11" t="s">
        <v>57</v>
      </c>
      <c r="C11">
        <v>1</v>
      </c>
      <c r="D11" t="s">
        <v>60</v>
      </c>
      <c r="G11" t="s">
        <v>76</v>
      </c>
      <c r="H11" s="3" t="s">
        <v>43</v>
      </c>
      <c r="I11" s="2" t="s">
        <v>77</v>
      </c>
      <c r="J11" s="1">
        <v>8.5999999999999993E-2</v>
      </c>
    </row>
    <row r="12" spans="2:13" x14ac:dyDescent="0.25">
      <c r="B12" t="s">
        <v>58</v>
      </c>
      <c r="C12">
        <v>1</v>
      </c>
      <c r="D12" t="s">
        <v>61</v>
      </c>
      <c r="G12" t="s">
        <v>78</v>
      </c>
      <c r="H12" s="3" t="s">
        <v>43</v>
      </c>
      <c r="I12" s="2" t="s">
        <v>81</v>
      </c>
      <c r="J12" s="1">
        <v>8.5999999999999993E-2</v>
      </c>
    </row>
    <row r="13" spans="2:13" x14ac:dyDescent="0.25">
      <c r="B13" t="s">
        <v>59</v>
      </c>
      <c r="C13">
        <v>1</v>
      </c>
      <c r="D13" t="s">
        <v>151</v>
      </c>
      <c r="G13" t="s">
        <v>152</v>
      </c>
      <c r="H13" s="3" t="s">
        <v>43</v>
      </c>
      <c r="I13" s="2" t="s">
        <v>153</v>
      </c>
      <c r="J13" s="1">
        <v>8.5999999999999993E-2</v>
      </c>
    </row>
    <row r="14" spans="2:13" x14ac:dyDescent="0.25">
      <c r="B14" t="s">
        <v>73</v>
      </c>
      <c r="C14">
        <v>3</v>
      </c>
      <c r="D14" t="s">
        <v>62</v>
      </c>
      <c r="G14" t="s">
        <v>79</v>
      </c>
      <c r="H14" s="3" t="s">
        <v>43</v>
      </c>
      <c r="I14" s="2" t="s">
        <v>82</v>
      </c>
      <c r="J14" s="1">
        <v>8.5999999999999993E-2</v>
      </c>
      <c r="M14" s="8"/>
    </row>
    <row r="15" spans="2:13" x14ac:dyDescent="0.25">
      <c r="B15" t="s">
        <v>74</v>
      </c>
      <c r="C15">
        <v>3</v>
      </c>
      <c r="D15" t="s">
        <v>63</v>
      </c>
      <c r="G15" t="s">
        <v>80</v>
      </c>
      <c r="H15" s="3" t="s">
        <v>43</v>
      </c>
      <c r="I15" s="2" t="s">
        <v>83</v>
      </c>
      <c r="J15" s="1">
        <v>8.5999999999999993E-2</v>
      </c>
    </row>
    <row r="16" spans="2:13" x14ac:dyDescent="0.25">
      <c r="B16" t="s">
        <v>122</v>
      </c>
      <c r="C16">
        <v>1</v>
      </c>
      <c r="D16" t="s">
        <v>158</v>
      </c>
      <c r="G16" t="s">
        <v>159</v>
      </c>
      <c r="H16" s="3" t="s">
        <v>43</v>
      </c>
      <c r="I16" s="2" t="s">
        <v>169</v>
      </c>
      <c r="J16" s="1">
        <v>0.10299999999999999</v>
      </c>
    </row>
    <row r="17" spans="2:11" x14ac:dyDescent="0.25">
      <c r="B17" t="s">
        <v>123</v>
      </c>
      <c r="C17">
        <v>1</v>
      </c>
      <c r="D17" t="s">
        <v>125</v>
      </c>
      <c r="G17" t="s">
        <v>128</v>
      </c>
      <c r="H17" s="3" t="s">
        <v>43</v>
      </c>
      <c r="I17" s="2" t="s">
        <v>127</v>
      </c>
      <c r="J17" s="1">
        <v>0.20599999999999999</v>
      </c>
    </row>
    <row r="18" spans="2:11" x14ac:dyDescent="0.25">
      <c r="B18" t="s">
        <v>124</v>
      </c>
      <c r="C18">
        <v>1</v>
      </c>
      <c r="D18" t="s">
        <v>126</v>
      </c>
      <c r="G18" t="s">
        <v>129</v>
      </c>
      <c r="H18" s="3" t="s">
        <v>43</v>
      </c>
      <c r="I18" s="2" t="s">
        <v>130</v>
      </c>
      <c r="J18" s="1">
        <v>0.12</v>
      </c>
    </row>
    <row r="19" spans="2:11" x14ac:dyDescent="0.25">
      <c r="B19" t="s">
        <v>84</v>
      </c>
      <c r="C19">
        <v>1</v>
      </c>
      <c r="D19" t="s">
        <v>86</v>
      </c>
      <c r="E19" t="s">
        <v>87</v>
      </c>
      <c r="G19" t="s">
        <v>92</v>
      </c>
      <c r="I19" s="2" t="s">
        <v>93</v>
      </c>
      <c r="J19" s="1">
        <v>5.82</v>
      </c>
    </row>
    <row r="20" spans="2:11" x14ac:dyDescent="0.25">
      <c r="B20" t="s">
        <v>147</v>
      </c>
      <c r="C20">
        <v>2</v>
      </c>
      <c r="D20" t="s">
        <v>85</v>
      </c>
      <c r="E20" t="s">
        <v>146</v>
      </c>
      <c r="G20" t="s">
        <v>91</v>
      </c>
      <c r="I20" s="2" t="s">
        <v>90</v>
      </c>
      <c r="J20" s="1">
        <v>5.82</v>
      </c>
    </row>
    <row r="21" spans="2:11" x14ac:dyDescent="0.25">
      <c r="B21" t="s">
        <v>94</v>
      </c>
      <c r="C21">
        <v>18</v>
      </c>
      <c r="D21" t="s">
        <v>97</v>
      </c>
      <c r="E21" t="s">
        <v>99</v>
      </c>
      <c r="F21" t="s">
        <v>115</v>
      </c>
      <c r="G21" t="s">
        <v>109</v>
      </c>
      <c r="H21" s="3" t="s">
        <v>110</v>
      </c>
      <c r="I21" s="2" t="s">
        <v>111</v>
      </c>
      <c r="J21" s="1">
        <v>0.27</v>
      </c>
    </row>
    <row r="22" spans="2:11" x14ac:dyDescent="0.25">
      <c r="B22" t="s">
        <v>95</v>
      </c>
      <c r="C22">
        <v>3</v>
      </c>
      <c r="D22" t="s">
        <v>98</v>
      </c>
      <c r="F22" t="s">
        <v>115</v>
      </c>
      <c r="G22" t="s">
        <v>118</v>
      </c>
      <c r="H22" s="3" t="s">
        <v>43</v>
      </c>
      <c r="I22" s="2" t="s">
        <v>117</v>
      </c>
      <c r="J22" s="1">
        <v>0.14599999999999999</v>
      </c>
    </row>
    <row r="23" spans="2:11" x14ac:dyDescent="0.25">
      <c r="B23" t="s">
        <v>96</v>
      </c>
      <c r="C23">
        <v>3</v>
      </c>
      <c r="D23" t="s">
        <v>97</v>
      </c>
      <c r="E23" t="s">
        <v>100</v>
      </c>
      <c r="F23" t="s">
        <v>115</v>
      </c>
      <c r="G23" t="s">
        <v>108</v>
      </c>
      <c r="H23" s="3" t="s">
        <v>43</v>
      </c>
      <c r="I23" s="2" t="s">
        <v>107</v>
      </c>
      <c r="J23" s="1">
        <v>0.19</v>
      </c>
    </row>
    <row r="24" spans="2:11" x14ac:dyDescent="0.25">
      <c r="B24" t="s">
        <v>165</v>
      </c>
      <c r="C24">
        <v>5</v>
      </c>
      <c r="D24" t="s">
        <v>101</v>
      </c>
      <c r="F24" t="s">
        <v>115</v>
      </c>
      <c r="G24" t="s">
        <v>119</v>
      </c>
      <c r="H24" s="3" t="s">
        <v>43</v>
      </c>
      <c r="I24" s="2" t="s">
        <v>120</v>
      </c>
      <c r="J24" s="1">
        <v>8.5999999999999993E-2</v>
      </c>
    </row>
    <row r="25" spans="2:11" x14ac:dyDescent="0.25">
      <c r="B25" t="s">
        <v>102</v>
      </c>
      <c r="C25">
        <v>6</v>
      </c>
      <c r="D25" t="s">
        <v>103</v>
      </c>
      <c r="E25" t="s">
        <v>88</v>
      </c>
      <c r="F25" t="s">
        <v>115</v>
      </c>
      <c r="G25" t="s">
        <v>105</v>
      </c>
      <c r="H25" s="3" t="s">
        <v>106</v>
      </c>
      <c r="I25" s="2" t="s">
        <v>116</v>
      </c>
      <c r="J25" s="1">
        <v>0.72</v>
      </c>
    </row>
    <row r="26" spans="2:11" x14ac:dyDescent="0.25">
      <c r="B26" t="s">
        <v>104</v>
      </c>
      <c r="C26">
        <v>3</v>
      </c>
      <c r="D26" t="s">
        <v>103</v>
      </c>
      <c r="E26" t="s">
        <v>89</v>
      </c>
      <c r="F26" t="s">
        <v>115</v>
      </c>
      <c r="G26" t="s">
        <v>113</v>
      </c>
      <c r="H26" s="3" t="s">
        <v>112</v>
      </c>
      <c r="I26" s="2" t="s">
        <v>114</v>
      </c>
      <c r="J26" s="1">
        <v>3.78</v>
      </c>
    </row>
    <row r="27" spans="2:11" x14ac:dyDescent="0.25">
      <c r="B27" t="s">
        <v>121</v>
      </c>
      <c r="C27">
        <v>3</v>
      </c>
      <c r="F27" t="s">
        <v>132</v>
      </c>
      <c r="G27" t="s">
        <v>131</v>
      </c>
      <c r="H27" s="3" t="s">
        <v>43</v>
      </c>
      <c r="I27" s="2" t="s">
        <v>157</v>
      </c>
      <c r="J27" s="1">
        <v>8.5999999999999993E-2</v>
      </c>
      <c r="K27" s="7"/>
    </row>
    <row r="28" spans="2:11" x14ac:dyDescent="0.25">
      <c r="B28" t="s">
        <v>176</v>
      </c>
      <c r="C28">
        <v>3</v>
      </c>
      <c r="F28" t="s">
        <v>177</v>
      </c>
      <c r="G28" t="s">
        <v>178</v>
      </c>
      <c r="I28" s="2" t="s">
        <v>179</v>
      </c>
      <c r="J28" s="1">
        <v>0.92</v>
      </c>
    </row>
    <row r="29" spans="2:11" x14ac:dyDescent="0.25">
      <c r="B29" t="s">
        <v>171</v>
      </c>
      <c r="C29">
        <v>1</v>
      </c>
      <c r="F29" t="s">
        <v>167</v>
      </c>
      <c r="G29" t="s">
        <v>166</v>
      </c>
      <c r="I29" s="2" t="s">
        <v>170</v>
      </c>
      <c r="J29" s="1">
        <v>1.61</v>
      </c>
    </row>
    <row r="30" spans="2:11" x14ac:dyDescent="0.25">
      <c r="B30" t="s">
        <v>172</v>
      </c>
      <c r="C30">
        <v>1</v>
      </c>
      <c r="F30" t="s">
        <v>173</v>
      </c>
      <c r="G30" t="s">
        <v>174</v>
      </c>
      <c r="I30" s="2" t="s">
        <v>175</v>
      </c>
      <c r="J30" s="1">
        <v>1.74</v>
      </c>
    </row>
    <row r="31" spans="2:11" x14ac:dyDescent="0.25">
      <c r="B31" t="s">
        <v>133</v>
      </c>
      <c r="C31">
        <v>1</v>
      </c>
      <c r="D31" t="s">
        <v>134</v>
      </c>
      <c r="F31" t="s">
        <v>135</v>
      </c>
      <c r="G31" t="s">
        <v>136</v>
      </c>
      <c r="I31" s="2" t="s">
        <v>137</v>
      </c>
      <c r="J31" s="1">
        <v>1.78</v>
      </c>
    </row>
    <row r="32" spans="2:11" x14ac:dyDescent="0.25">
      <c r="B32" t="s">
        <v>138</v>
      </c>
      <c r="C32">
        <v>1</v>
      </c>
      <c r="D32" t="s">
        <v>142</v>
      </c>
      <c r="G32" t="s">
        <v>141</v>
      </c>
      <c r="I32" s="2" t="s">
        <v>143</v>
      </c>
      <c r="J32" s="1">
        <v>5.67</v>
      </c>
    </row>
    <row r="33" spans="2:10" x14ac:dyDescent="0.25">
      <c r="B33" t="s">
        <v>139</v>
      </c>
      <c r="C33">
        <v>1</v>
      </c>
      <c r="D33" t="s">
        <v>140</v>
      </c>
      <c r="G33" t="s">
        <v>144</v>
      </c>
      <c r="H33" s="3" t="s">
        <v>110</v>
      </c>
      <c r="I33" s="2" t="s">
        <v>145</v>
      </c>
      <c r="J33" s="1">
        <v>0.10299999999999999</v>
      </c>
    </row>
    <row r="34" spans="2:10" x14ac:dyDescent="0.25">
      <c r="B34" t="s">
        <v>160</v>
      </c>
      <c r="C34">
        <v>4</v>
      </c>
      <c r="D34" t="s">
        <v>163</v>
      </c>
      <c r="F34" t="s">
        <v>161</v>
      </c>
      <c r="G34" t="s">
        <v>162</v>
      </c>
      <c r="H34" s="3" t="s">
        <v>43</v>
      </c>
      <c r="I34" s="2" t="s">
        <v>164</v>
      </c>
      <c r="J34" s="1">
        <v>0.112</v>
      </c>
    </row>
  </sheetData>
  <phoneticPr fontId="4" type="noConversion"/>
  <hyperlinks>
    <hyperlink ref="I3" r:id="rId1" xr:uid="{808C718E-03BC-4645-BAFC-5C9C1064332A}"/>
    <hyperlink ref="I4" r:id="rId2" xr:uid="{63F68CBC-EA00-424F-A0D6-5B996DADF5AE}"/>
    <hyperlink ref="I5" r:id="rId3" xr:uid="{88579F36-77A9-46AD-8043-9EDBFCA7967B}"/>
    <hyperlink ref="I6" r:id="rId4" xr:uid="{64AC06E6-AC46-4E12-A981-CA66E05B37F4}"/>
    <hyperlink ref="I8" r:id="rId5" xr:uid="{DD52057B-913B-45AF-8637-399C47E9F6DF}"/>
    <hyperlink ref="I9" r:id="rId6" xr:uid="{0BC23AE3-93D7-4E18-B8EE-CBF2AD730DD0}"/>
    <hyperlink ref="I11" r:id="rId7" xr:uid="{839885C2-B125-454B-8CFE-E718F6B30751}"/>
    <hyperlink ref="I12" r:id="rId8" xr:uid="{A7AD2E49-8167-4729-B249-96A57AC0A838}"/>
    <hyperlink ref="I14" r:id="rId9" xr:uid="{B87B5580-5ADF-42A4-B7B9-224C9596DCCE}"/>
    <hyperlink ref="I15" r:id="rId10" xr:uid="{EC7B9F25-120C-46FD-9736-B074FD171FEB}"/>
    <hyperlink ref="I20" r:id="rId11" xr:uid="{0F78987D-F504-43AE-BCEA-7B61488EFA33}"/>
    <hyperlink ref="I19" r:id="rId12" xr:uid="{4FBB2F12-C8D5-4269-9693-B99FF38C2834}"/>
    <hyperlink ref="I23" r:id="rId13" xr:uid="{C525918F-8911-4CC5-A2DF-403E6349CA9A}"/>
    <hyperlink ref="I21" r:id="rId14" xr:uid="{0FF2DC63-EC03-4471-97CB-8316C372F361}"/>
    <hyperlink ref="I26" r:id="rId15" xr:uid="{40972BF4-A702-42FB-A23B-4E09D1C658CA}"/>
    <hyperlink ref="I25" r:id="rId16" xr:uid="{8E3F0219-45D8-4362-9114-0AC303B5950C}"/>
    <hyperlink ref="I22" r:id="rId17" xr:uid="{4E91EC8C-0D84-4821-870C-132329E01914}"/>
    <hyperlink ref="I24" r:id="rId18" xr:uid="{A3D3DCF8-A998-404D-B0A0-2A30C099FD39}"/>
    <hyperlink ref="I17" r:id="rId19" xr:uid="{16768F7F-531B-4C5A-A9C6-403425B2CD86}"/>
    <hyperlink ref="I31" r:id="rId20" xr:uid="{210977EF-B4AD-49DE-88E8-AACF915B317C}"/>
    <hyperlink ref="I32" r:id="rId21" xr:uid="{92E38A7E-FA04-40F8-A97F-D9A877D6285E}"/>
    <hyperlink ref="I33" r:id="rId22" xr:uid="{CE2E541B-F728-47D7-991A-AC1B3D4427BF}"/>
    <hyperlink ref="I13" r:id="rId23" xr:uid="{56F6DEFC-7AD7-4848-A2D3-409F0C18E0E9}"/>
    <hyperlink ref="I10" r:id="rId24" xr:uid="{2AB46544-12B1-4CDA-9377-9F213F790CA0}"/>
    <hyperlink ref="I27" r:id="rId25" xr:uid="{FD088799-AB61-4911-BF67-AA5054D99D80}"/>
    <hyperlink ref="I18" r:id="rId26" xr:uid="{5C7C4CCB-08FB-4D6C-9A2C-260526990B4D}"/>
    <hyperlink ref="I34" r:id="rId27" xr:uid="{89D9C760-4603-44ED-BAD6-1AB47CD8274A}"/>
    <hyperlink ref="I16" r:id="rId28" xr:uid="{EE51621E-48BB-4B5A-9D40-E22A6321749A}"/>
    <hyperlink ref="I29" r:id="rId29" xr:uid="{5F5C7B54-1A0C-425B-AC06-92A4801AE905}"/>
    <hyperlink ref="I30" r:id="rId30" xr:uid="{B57F8EBD-E6B6-46B9-87ED-E45FAC302E7F}"/>
    <hyperlink ref="I28" r:id="rId31" xr:uid="{510B6DD6-EB9A-4118-8A2A-358EA548070E}"/>
  </hyperlinks>
  <pageMargins left="0.7" right="0.7" top="0.75" bottom="0.75" header="0.3" footer="0.3"/>
  <pageSetup paperSize="9" orientation="landscape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Mimoso Acúrcio Marco</dc:creator>
  <cp:lastModifiedBy>Mimoso Acurcio Marco</cp:lastModifiedBy>
  <dcterms:created xsi:type="dcterms:W3CDTF">2026-04-05T16:00:45Z</dcterms:created>
  <dcterms:modified xsi:type="dcterms:W3CDTF">2026-06-24T06:30:50Z</dcterms:modified>
</cp:coreProperties>
</file>