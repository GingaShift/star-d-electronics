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altofi-my.sharepoint.com/personal/marco_mimosoacurcio_aalto_fi/Documents/# Extracurricular/REXUS/PCB_power/star-d_power/"/>
    </mc:Choice>
  </mc:AlternateContent>
  <xr:revisionPtr revIDLastSave="124" documentId="8_{23EE6735-2AEE-4A32-9A31-E8B7F1431386}" xr6:coauthVersionLast="47" xr6:coauthVersionMax="47" xr10:uidLastSave="{265F74D4-3E5C-4DF5-A424-71418CD531A1}"/>
  <bookViews>
    <workbookView xWindow="-120" yWindow="-120" windowWidth="29040" windowHeight="15720" activeTab="1" xr2:uid="{175ED151-40C8-4987-9600-3D48198108E4}"/>
  </bookViews>
  <sheets>
    <sheet name="Component consumptions" sheetId="1" r:id="rId1"/>
    <sheet name="Regulator dissipation and tot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/>
  <c r="G15" i="1"/>
  <c r="F16" i="1"/>
  <c r="G16" i="1"/>
  <c r="F17" i="1"/>
  <c r="G17" i="1"/>
  <c r="F14" i="1"/>
  <c r="G14" i="1"/>
  <c r="Q4" i="1"/>
  <c r="R4" i="1"/>
  <c r="S4" i="1"/>
  <c r="U4" i="1"/>
  <c r="V4" i="1"/>
  <c r="W4" i="1"/>
  <c r="Q5" i="1"/>
  <c r="R5" i="1"/>
  <c r="S5" i="1"/>
  <c r="U5" i="1"/>
  <c r="V5" i="1"/>
  <c r="W5" i="1"/>
  <c r="Q6" i="1"/>
  <c r="R6" i="1"/>
  <c r="S6" i="1"/>
  <c r="U6" i="1"/>
  <c r="V6" i="1"/>
  <c r="W6" i="1"/>
  <c r="Q7" i="1"/>
  <c r="R7" i="1"/>
  <c r="S7" i="1"/>
  <c r="U7" i="1"/>
  <c r="V7" i="1"/>
  <c r="W7" i="1"/>
  <c r="Q8" i="1"/>
  <c r="R8" i="1"/>
  <c r="S8" i="1"/>
  <c r="U8" i="1"/>
  <c r="V8" i="1"/>
  <c r="W8" i="1"/>
  <c r="Q9" i="1"/>
  <c r="R9" i="1"/>
  <c r="S9" i="1"/>
  <c r="U9" i="1"/>
  <c r="V9" i="1"/>
  <c r="W9" i="1"/>
  <c r="Q10" i="1"/>
  <c r="R10" i="1"/>
  <c r="S10" i="1"/>
  <c r="U10" i="1"/>
  <c r="V10" i="1"/>
  <c r="W10" i="1"/>
  <c r="Q11" i="1"/>
  <c r="R11" i="1"/>
  <c r="S11" i="1"/>
  <c r="U11" i="1"/>
  <c r="V11" i="1"/>
  <c r="W11" i="1"/>
  <c r="Q12" i="1"/>
  <c r="R12" i="1"/>
  <c r="S12" i="1"/>
  <c r="U12" i="1"/>
  <c r="V12" i="1"/>
  <c r="W12" i="1"/>
  <c r="Q13" i="1"/>
  <c r="R13" i="1"/>
  <c r="S13" i="1"/>
  <c r="U13" i="1"/>
  <c r="V13" i="1"/>
  <c r="W13" i="1"/>
  <c r="Q14" i="1"/>
  <c r="R14" i="1"/>
  <c r="S14" i="1"/>
  <c r="U14" i="1"/>
  <c r="V14" i="1"/>
  <c r="W14" i="1"/>
  <c r="Q15" i="1"/>
  <c r="R15" i="1"/>
  <c r="S15" i="1"/>
  <c r="U15" i="1"/>
  <c r="V15" i="1"/>
  <c r="W15" i="1"/>
  <c r="Q16" i="1"/>
  <c r="R16" i="1"/>
  <c r="S16" i="1"/>
  <c r="U16" i="1"/>
  <c r="V16" i="1"/>
  <c r="W16" i="1"/>
  <c r="Q17" i="1"/>
  <c r="R17" i="1"/>
  <c r="S17" i="1"/>
  <c r="U17" i="1"/>
  <c r="V17" i="1"/>
  <c r="W17" i="1"/>
  <c r="Q18" i="1"/>
  <c r="R18" i="1"/>
  <c r="S18" i="1"/>
  <c r="U18" i="1"/>
  <c r="V18" i="1"/>
  <c r="W18" i="1"/>
  <c r="Q19" i="1"/>
  <c r="R19" i="1"/>
  <c r="S19" i="1"/>
  <c r="U19" i="1"/>
  <c r="V19" i="1"/>
  <c r="W19" i="1"/>
  <c r="Q20" i="1"/>
  <c r="R20" i="1"/>
  <c r="S20" i="1"/>
  <c r="U20" i="1"/>
  <c r="V20" i="1"/>
  <c r="W20" i="1"/>
  <c r="Q21" i="1"/>
  <c r="R21" i="1"/>
  <c r="S21" i="1"/>
  <c r="U21" i="1"/>
  <c r="V21" i="1"/>
  <c r="W21" i="1"/>
  <c r="Q22" i="1"/>
  <c r="R22" i="1"/>
  <c r="S22" i="1"/>
  <c r="U22" i="1"/>
  <c r="V22" i="1"/>
  <c r="W22" i="1"/>
  <c r="Q23" i="1"/>
  <c r="R23" i="1"/>
  <c r="S23" i="1"/>
  <c r="U23" i="1"/>
  <c r="V23" i="1"/>
  <c r="W23" i="1"/>
  <c r="Q24" i="1"/>
  <c r="R24" i="1"/>
  <c r="S24" i="1"/>
  <c r="U24" i="1"/>
  <c r="V24" i="1"/>
  <c r="W24" i="1"/>
  <c r="Q25" i="1"/>
  <c r="R25" i="1"/>
  <c r="S25" i="1"/>
  <c r="U25" i="1"/>
  <c r="V25" i="1"/>
  <c r="W25" i="1"/>
  <c r="Q26" i="1"/>
  <c r="R26" i="1"/>
  <c r="S26" i="1"/>
  <c r="U26" i="1"/>
  <c r="V26" i="1"/>
  <c r="W26" i="1"/>
  <c r="Q27" i="1"/>
  <c r="R27" i="1"/>
  <c r="S27" i="1"/>
  <c r="U27" i="1"/>
  <c r="V27" i="1"/>
  <c r="W27" i="1"/>
  <c r="Q28" i="1"/>
  <c r="R28" i="1"/>
  <c r="S28" i="1"/>
  <c r="U28" i="1"/>
  <c r="V28" i="1"/>
  <c r="W28" i="1"/>
  <c r="Q29" i="1"/>
  <c r="R29" i="1"/>
  <c r="S29" i="1"/>
  <c r="U29" i="1"/>
  <c r="V29" i="1"/>
  <c r="W29" i="1"/>
  <c r="Q30" i="1"/>
  <c r="R30" i="1"/>
  <c r="S30" i="1"/>
  <c r="U30" i="1"/>
  <c r="V30" i="1"/>
  <c r="W30" i="1"/>
  <c r="Q31" i="1"/>
  <c r="R31" i="1"/>
  <c r="S31" i="1"/>
  <c r="U31" i="1"/>
  <c r="V31" i="1"/>
  <c r="W31" i="1"/>
  <c r="Q32" i="1"/>
  <c r="R32" i="1"/>
  <c r="S32" i="1"/>
  <c r="U32" i="1"/>
  <c r="V32" i="1"/>
  <c r="W32" i="1"/>
  <c r="Q33" i="1"/>
  <c r="R33" i="1"/>
  <c r="S33" i="1"/>
  <c r="U33" i="1"/>
  <c r="V33" i="1"/>
  <c r="W33" i="1"/>
  <c r="Q34" i="1"/>
  <c r="R34" i="1"/>
  <c r="S34" i="1"/>
  <c r="U34" i="1"/>
  <c r="V34" i="1"/>
  <c r="W34" i="1"/>
  <c r="Q35" i="1"/>
  <c r="R35" i="1"/>
  <c r="S35" i="1"/>
  <c r="U35" i="1"/>
  <c r="V35" i="1"/>
  <c r="W35" i="1"/>
  <c r="Q36" i="1"/>
  <c r="R36" i="1"/>
  <c r="S36" i="1"/>
  <c r="U36" i="1"/>
  <c r="V36" i="1"/>
  <c r="W36" i="1"/>
  <c r="Q37" i="1"/>
  <c r="R37" i="1"/>
  <c r="S37" i="1"/>
  <c r="U37" i="1"/>
  <c r="V37" i="1"/>
  <c r="W37" i="1"/>
  <c r="Q38" i="1"/>
  <c r="R38" i="1"/>
  <c r="S38" i="1"/>
  <c r="U38" i="1"/>
  <c r="V38" i="1"/>
  <c r="W38" i="1"/>
  <c r="Q39" i="1"/>
  <c r="R39" i="1"/>
  <c r="S39" i="1"/>
  <c r="U39" i="1"/>
  <c r="V39" i="1"/>
  <c r="W39" i="1"/>
  <c r="Q40" i="1"/>
  <c r="R40" i="1"/>
  <c r="S40" i="1"/>
  <c r="U40" i="1"/>
  <c r="V40" i="1"/>
  <c r="W40" i="1"/>
  <c r="Q41" i="1"/>
  <c r="R41" i="1"/>
  <c r="S41" i="1"/>
  <c r="U41" i="1"/>
  <c r="V41" i="1"/>
  <c r="W41" i="1"/>
  <c r="Q42" i="1"/>
  <c r="R42" i="1"/>
  <c r="S42" i="1"/>
  <c r="U42" i="1"/>
  <c r="V42" i="1"/>
  <c r="W42" i="1"/>
  <c r="Q43" i="1"/>
  <c r="R43" i="1"/>
  <c r="S43" i="1"/>
  <c r="U43" i="1"/>
  <c r="V43" i="1"/>
  <c r="W43" i="1"/>
  <c r="Q44" i="1"/>
  <c r="R44" i="1"/>
  <c r="S44" i="1"/>
  <c r="U44" i="1"/>
  <c r="V44" i="1"/>
  <c r="W44" i="1"/>
  <c r="Q45" i="1"/>
  <c r="R45" i="1"/>
  <c r="S45" i="1"/>
  <c r="U45" i="1"/>
  <c r="V45" i="1"/>
  <c r="W45" i="1"/>
  <c r="Q46" i="1"/>
  <c r="R46" i="1"/>
  <c r="S46" i="1"/>
  <c r="U46" i="1"/>
  <c r="V46" i="1"/>
  <c r="W46" i="1"/>
  <c r="Q47" i="1"/>
  <c r="R47" i="1"/>
  <c r="S47" i="1"/>
  <c r="U47" i="1"/>
  <c r="V47" i="1"/>
  <c r="W47" i="1"/>
  <c r="Q48" i="1"/>
  <c r="R48" i="1"/>
  <c r="S48" i="1"/>
  <c r="U48" i="1"/>
  <c r="V48" i="1"/>
  <c r="W48" i="1"/>
  <c r="Q49" i="1"/>
  <c r="R49" i="1"/>
  <c r="S49" i="1"/>
  <c r="U49" i="1"/>
  <c r="V49" i="1"/>
  <c r="W49" i="1"/>
  <c r="Q50" i="1"/>
  <c r="R50" i="1"/>
  <c r="S50" i="1"/>
  <c r="U50" i="1"/>
  <c r="V50" i="1"/>
  <c r="W50" i="1"/>
  <c r="Q51" i="1"/>
  <c r="R51" i="1"/>
  <c r="S51" i="1"/>
  <c r="U51" i="1"/>
  <c r="V51" i="1"/>
  <c r="W51" i="1"/>
  <c r="Q52" i="1"/>
  <c r="R52" i="1"/>
  <c r="S52" i="1"/>
  <c r="U52" i="1"/>
  <c r="V52" i="1"/>
  <c r="W52" i="1"/>
  <c r="Q53" i="1"/>
  <c r="R53" i="1"/>
  <c r="S53" i="1"/>
  <c r="U53" i="1"/>
  <c r="V53" i="1"/>
  <c r="W53" i="1"/>
  <c r="Q54" i="1"/>
  <c r="R54" i="1"/>
  <c r="S54" i="1"/>
  <c r="U54" i="1"/>
  <c r="V54" i="1"/>
  <c r="W54" i="1"/>
  <c r="Q55" i="1"/>
  <c r="R55" i="1"/>
  <c r="S55" i="1"/>
  <c r="U55" i="1"/>
  <c r="V55" i="1"/>
  <c r="W55" i="1"/>
  <c r="G4" i="1"/>
  <c r="G5" i="1"/>
  <c r="G6" i="1"/>
  <c r="G7" i="1"/>
  <c r="G8" i="1"/>
  <c r="G9" i="1"/>
  <c r="G10" i="1"/>
  <c r="G11" i="1"/>
  <c r="G12" i="1"/>
  <c r="G13" i="1"/>
  <c r="G3" i="1"/>
  <c r="F4" i="1"/>
  <c r="F5" i="1"/>
  <c r="F6" i="1"/>
  <c r="F7" i="1"/>
  <c r="F8" i="1"/>
  <c r="F9" i="1"/>
  <c r="F10" i="1"/>
  <c r="F11" i="1"/>
  <c r="F12" i="1"/>
  <c r="F13" i="1"/>
  <c r="F3" i="1"/>
  <c r="V3" i="1"/>
  <c r="W3" i="1"/>
  <c r="U3" i="1"/>
  <c r="R3" i="1"/>
  <c r="S3" i="1"/>
  <c r="Q3" i="1"/>
  <c r="D14" i="2" l="1"/>
  <c r="E14" i="2" s="1"/>
  <c r="F14" i="2" s="1"/>
  <c r="G14" i="2" s="1"/>
  <c r="D15" i="2"/>
  <c r="E15" i="2" s="1"/>
  <c r="F15" i="2" s="1"/>
  <c r="D16" i="2"/>
  <c r="E16" i="2" s="1"/>
  <c r="F16" i="2" s="1"/>
  <c r="G16" i="2" s="1"/>
  <c r="D5" i="2"/>
  <c r="E5" i="2" s="1"/>
  <c r="F5" i="2" s="1"/>
  <c r="G5" i="2" s="1"/>
  <c r="D6" i="2"/>
  <c r="E6" i="2" s="1"/>
  <c r="F6" i="2" s="1"/>
  <c r="G6" i="2" s="1"/>
  <c r="D4" i="2"/>
  <c r="E4" i="2" s="1"/>
  <c r="F4" i="2" s="1"/>
  <c r="G15" i="2" l="1"/>
  <c r="C18" i="2"/>
  <c r="C19" i="2" s="1"/>
  <c r="G4" i="2"/>
  <c r="C8" i="2"/>
  <c r="E8" i="2" l="1"/>
  <c r="G8" i="2" s="1"/>
  <c r="C9" i="2"/>
  <c r="F8" i="2"/>
  <c r="F18" i="2"/>
  <c r="E18" i="2"/>
  <c r="G18" i="2" s="1"/>
  <c r="E19" i="2"/>
  <c r="G19" i="2" s="1"/>
  <c r="F19" i="2"/>
  <c r="F9" i="2" l="1"/>
  <c r="E9" i="2"/>
  <c r="G9" i="2" s="1"/>
</calcChain>
</file>

<file path=xl/sharedStrings.xml><?xml version="1.0" encoding="utf-8"?>
<sst xmlns="http://schemas.openxmlformats.org/spreadsheetml/2006/main" count="52" uniqueCount="36">
  <si>
    <t>Component</t>
  </si>
  <si>
    <t>Voltage (V)</t>
  </si>
  <si>
    <t>Nominal current (A)</t>
  </si>
  <si>
    <t>Maximum current (A)</t>
  </si>
  <si>
    <t>Nominal power (W)</t>
  </si>
  <si>
    <t>Maximum power (W)</t>
  </si>
  <si>
    <t>ESP32 S3</t>
  </si>
  <si>
    <t>Regulator output voltage (V)</t>
  </si>
  <si>
    <t>Efficiency</t>
  </si>
  <si>
    <t>Output current (A)</t>
  </si>
  <si>
    <t>Input current (A)</t>
  </si>
  <si>
    <t>Output power (W)</t>
  </si>
  <si>
    <t>Input power (W)</t>
  </si>
  <si>
    <t>Dissipated power (W)</t>
  </si>
  <si>
    <t>Nominal</t>
  </si>
  <si>
    <t>Maximum</t>
  </si>
  <si>
    <t>TOTAL</t>
  </si>
  <si>
    <t>+10% margin</t>
  </si>
  <si>
    <t>Input voltage (V)</t>
  </si>
  <si>
    <t>Energy (Wh)</t>
  </si>
  <si>
    <t>Charge (Ah)</t>
  </si>
  <si>
    <t>Flight time (h)</t>
  </si>
  <si>
    <t>Compute module 5</t>
  </si>
  <si>
    <t>BME280</t>
  </si>
  <si>
    <t>Kingston NV3 NVMe SSD M.2 2230 (128g)</t>
  </si>
  <si>
    <t>LED PCB</t>
  </si>
  <si>
    <t>Module Caméra v2 8MP</t>
  </si>
  <si>
    <t>Honeywell ABP Pressure Sensor</t>
  </si>
  <si>
    <t>Sensirion SLF3S-0600F Liquid Flow Sensor</t>
  </si>
  <si>
    <t>LSM6DSMTR</t>
  </si>
  <si>
    <t>MAX31865ATP+</t>
  </si>
  <si>
    <t>ISL83491</t>
  </si>
  <si>
    <t>FIT0845</t>
  </si>
  <si>
    <t>W25Q01JVZEIQ</t>
  </si>
  <si>
    <t>A4988 Stepper Motor Driver + motor</t>
  </si>
  <si>
    <t>ULN2003 Stepper Driver Board +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</si>
</sst>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2" xfId="0" applyFont="1" applyBorder="1"/>
    <xf numFmtId="0" fontId="0" fillId="0" borderId="1" xfId="0" applyBorder="1"/>
    <xf numFmtId="0" fontId="0" fillId="0" borderId="7" xfId="0" applyBorder="1"/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6" xfId="0" quotePrefix="1" applyBorder="1" applyAlignment="1">
      <alignment horizontal="right"/>
    </xf>
    <xf numFmtId="0" fontId="0" fillId="0" borderId="8" xfId="0" quotePrefix="1" applyBorder="1" applyAlignment="1">
      <alignment horizontal="right"/>
    </xf>
    <xf numFmtId="0" fontId="1" fillId="0" borderId="11" xfId="0" applyFont="1" applyBorder="1" applyAlignment="1">
      <alignment wrapText="1"/>
    </xf>
    <xf numFmtId="0" fontId="0" fillId="2" borderId="12" xfId="0" applyFill="1" applyBorder="1"/>
    <xf numFmtId="9" fontId="0" fillId="2" borderId="1" xfId="0" applyNumberFormat="1" applyFill="1" applyBorder="1"/>
    <xf numFmtId="9" fontId="0" fillId="2" borderId="9" xfId="0" applyNumberFormat="1" applyFill="1" applyBorder="1"/>
    <xf numFmtId="0" fontId="0" fillId="2" borderId="1" xfId="0" applyFill="1" applyBorder="1"/>
    <xf numFmtId="0" fontId="0" fillId="2" borderId="9" xfId="0" applyFill="1" applyBorder="1"/>
    <xf numFmtId="0" fontId="0" fillId="0" borderId="6" xfId="0" applyBorder="1"/>
    <xf numFmtId="0" fontId="0" fillId="0" borderId="8" xfId="0" applyBorder="1"/>
    <xf numFmtId="2" fontId="0" fillId="0" borderId="1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0" fontId="0" fillId="2" borderId="6" xfId="0" applyFill="1" applyBorder="1" applyAlignment="1">
      <alignment wrapText="1"/>
    </xf>
    <xf numFmtId="11" fontId="0" fillId="2" borderId="1" xfId="0" applyNumberFormat="1" applyFill="1" applyBorder="1"/>
    <xf numFmtId="0" fontId="0" fillId="3" borderId="0" xfId="0" applyFill="1"/>
    <xf numFmtId="2" fontId="0" fillId="4" borderId="9" xfId="0" applyNumberFormat="1" applyFill="1" applyBorder="1"/>
    <xf numFmtId="0" fontId="0" fillId="5" borderId="0" xfId="0" applyFill="1"/>
    <xf numFmtId="164" fontId="0" fillId="0" borderId="1" xfId="0" applyNumberFormat="1" applyBorder="1"/>
    <xf numFmtId="164" fontId="0" fillId="0" borderId="7" xfId="0" applyNumberFormat="1" applyBorder="1"/>
    <xf numFmtId="11" fontId="0" fillId="0" borderId="1" xfId="0" applyNumberFormat="1" applyBorder="1"/>
    <xf numFmtId="11" fontId="0" fillId="0" borderId="7" xfId="0" applyNumberFormat="1" applyBorder="1"/>
    <xf numFmtId="164" fontId="0" fillId="2" borderId="1" xfId="0" applyNumberFormat="1" applyFill="1" applyBorder="1"/>
    <xf numFmtId="0" fontId="0" fillId="2" borderId="13" xfId="0" applyFill="1" applyBorder="1" applyAlignment="1">
      <alignment wrapText="1"/>
    </xf>
    <xf numFmtId="0" fontId="0" fillId="2" borderId="14" xfId="0" applyFill="1" applyBorder="1"/>
    <xf numFmtId="0" fontId="0" fillId="0" borderId="14" xfId="0" applyBorder="1"/>
    <xf numFmtId="0" fontId="0" fillId="0" borderId="15" xfId="0" applyBorder="1"/>
    <xf numFmtId="0" fontId="0" fillId="2" borderId="8" xfId="0" applyFill="1" applyBorder="1" applyAlignment="1">
      <alignment wrapText="1"/>
    </xf>
    <xf numFmtId="164" fontId="0" fillId="2" borderId="9" xfId="0" applyNumberFormat="1" applyFill="1" applyBorder="1"/>
    <xf numFmtId="164" fontId="0" fillId="0" borderId="9" xfId="0" applyNumberFormat="1" applyBorder="1"/>
    <xf numFmtId="164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99079-B85C-4DC7-B981-5F455B51844D}">
  <dimension ref="B1:W55"/>
  <sheetViews>
    <sheetView workbookViewId="0">
      <selection activeCell="M16" sqref="M16"/>
    </sheetView>
  </sheetViews>
  <sheetFormatPr defaultRowHeight="15" x14ac:dyDescent="0.25"/>
  <cols>
    <col min="2" max="2" width="18.7109375" style="24" customWidth="1"/>
    <col min="3" max="3" width="11.85546875" style="16" customWidth="1"/>
    <col min="4" max="4" width="10.28515625" style="16" customWidth="1"/>
    <col min="5" max="5" width="11.28515625" style="16" customWidth="1"/>
    <col min="6" max="6" width="11" style="4" customWidth="1"/>
    <col min="7" max="7" width="10.85546875" style="5" customWidth="1"/>
  </cols>
  <sheetData>
    <row r="1" spans="2:23" ht="21.75" customHeight="1" thickBot="1" x14ac:dyDescent="0.3">
      <c r="B1" s="9"/>
      <c r="C1"/>
      <c r="D1"/>
      <c r="E1"/>
      <c r="F1"/>
      <c r="G1"/>
      <c r="Q1" t="s">
        <v>14</v>
      </c>
      <c r="U1" t="s">
        <v>15</v>
      </c>
    </row>
    <row r="2" spans="2:23" s="2" customFormat="1" ht="33" customHeight="1" x14ac:dyDescent="0.25">
      <c r="B2" s="6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8" t="s">
        <v>5</v>
      </c>
      <c r="Q2" s="2">
        <v>3.3</v>
      </c>
      <c r="R2" s="2">
        <v>5</v>
      </c>
      <c r="S2" s="2">
        <v>7</v>
      </c>
      <c r="U2" s="2">
        <v>3.3</v>
      </c>
      <c r="V2" s="2">
        <v>5</v>
      </c>
      <c r="W2" s="2">
        <v>7</v>
      </c>
    </row>
    <row r="3" spans="2:23" x14ac:dyDescent="0.25">
      <c r="B3" s="24" t="s">
        <v>6</v>
      </c>
      <c r="C3" s="16">
        <v>3.3</v>
      </c>
      <c r="D3" s="33">
        <v>0.02</v>
      </c>
      <c r="E3" s="33">
        <v>0.1</v>
      </c>
      <c r="F3" s="29">
        <f>$C3*D3</f>
        <v>6.6000000000000003E-2</v>
      </c>
      <c r="G3" s="30">
        <f>$C3*E3</f>
        <v>0.33</v>
      </c>
      <c r="Q3">
        <f>IF($C3=Q$2,$D3,0)</f>
        <v>0.02</v>
      </c>
      <c r="R3">
        <f t="shared" ref="R3:S10" si="0">IF($C3=R$2,$D3,0)</f>
        <v>0</v>
      </c>
      <c r="S3">
        <f t="shared" si="0"/>
        <v>0</v>
      </c>
      <c r="U3">
        <f>IF($C3=U$2,$E3,0)</f>
        <v>0.1</v>
      </c>
      <c r="V3">
        <f t="shared" ref="V3:W10" si="1">IF($C3=V$2,$E3,0)</f>
        <v>0</v>
      </c>
      <c r="W3">
        <f t="shared" si="1"/>
        <v>0</v>
      </c>
    </row>
    <row r="4" spans="2:23" x14ac:dyDescent="0.25">
      <c r="B4" s="24" t="s">
        <v>22</v>
      </c>
      <c r="C4" s="16">
        <v>5</v>
      </c>
      <c r="D4" s="33">
        <v>0.9</v>
      </c>
      <c r="E4" s="33">
        <v>1.5</v>
      </c>
      <c r="F4" s="29">
        <f t="shared" ref="F4:F14" si="2">$C4*D4</f>
        <v>4.5</v>
      </c>
      <c r="G4" s="30">
        <f t="shared" ref="G4:G14" si="3">$C4*E4</f>
        <v>7.5</v>
      </c>
      <c r="Q4">
        <f t="shared" ref="Q4:S23" si="4">IF($C4=Q$2,$D4,0)</f>
        <v>0</v>
      </c>
      <c r="R4">
        <f t="shared" si="0"/>
        <v>0.9</v>
      </c>
      <c r="S4">
        <f t="shared" si="0"/>
        <v>0</v>
      </c>
      <c r="U4">
        <f t="shared" ref="U4:W23" si="5">IF($C4=U$2,$E4,0)</f>
        <v>0</v>
      </c>
      <c r="V4">
        <f t="shared" si="1"/>
        <v>1.5</v>
      </c>
      <c r="W4">
        <f t="shared" si="1"/>
        <v>0</v>
      </c>
    </row>
    <row r="5" spans="2:23" ht="45" x14ac:dyDescent="0.25">
      <c r="B5" s="24" t="s">
        <v>34</v>
      </c>
      <c r="C5" s="16">
        <v>7</v>
      </c>
      <c r="D5" s="33">
        <v>0.5</v>
      </c>
      <c r="E5" s="33">
        <v>0.5</v>
      </c>
      <c r="F5" s="29">
        <f t="shared" si="2"/>
        <v>3.5</v>
      </c>
      <c r="G5" s="30">
        <f t="shared" si="3"/>
        <v>3.5</v>
      </c>
      <c r="H5" s="26"/>
      <c r="Q5">
        <f t="shared" si="4"/>
        <v>0</v>
      </c>
      <c r="R5">
        <f t="shared" si="0"/>
        <v>0</v>
      </c>
      <c r="S5">
        <f t="shared" si="0"/>
        <v>0.5</v>
      </c>
      <c r="U5">
        <f t="shared" si="5"/>
        <v>0</v>
      </c>
      <c r="V5">
        <f t="shared" si="1"/>
        <v>0</v>
      </c>
      <c r="W5">
        <f t="shared" si="1"/>
        <v>0.5</v>
      </c>
    </row>
    <row r="6" spans="2:23" ht="45" x14ac:dyDescent="0.25">
      <c r="B6" s="24" t="s">
        <v>35</v>
      </c>
      <c r="C6" s="16">
        <v>5</v>
      </c>
      <c r="D6" s="33">
        <v>0.5</v>
      </c>
      <c r="E6" s="33">
        <v>0.5</v>
      </c>
      <c r="F6" s="29">
        <f t="shared" si="2"/>
        <v>2.5</v>
      </c>
      <c r="G6" s="30">
        <f t="shared" si="3"/>
        <v>2.5</v>
      </c>
      <c r="H6" s="26"/>
      <c r="Q6">
        <f t="shared" si="4"/>
        <v>0</v>
      </c>
      <c r="R6">
        <f t="shared" si="0"/>
        <v>0.5</v>
      </c>
      <c r="S6">
        <f t="shared" si="0"/>
        <v>0</v>
      </c>
      <c r="U6">
        <f t="shared" si="5"/>
        <v>0</v>
      </c>
      <c r="V6">
        <f t="shared" si="1"/>
        <v>0.5</v>
      </c>
      <c r="W6">
        <f t="shared" si="1"/>
        <v>0</v>
      </c>
    </row>
    <row r="7" spans="2:23" x14ac:dyDescent="0.25">
      <c r="B7" s="24" t="s">
        <v>23</v>
      </c>
      <c r="C7" s="16">
        <v>3.3</v>
      </c>
      <c r="D7" s="25">
        <v>3.5999999999999998E-6</v>
      </c>
      <c r="E7" s="25">
        <v>3.5999999999999998E-6</v>
      </c>
      <c r="F7" s="31">
        <f t="shared" si="2"/>
        <v>1.1879999999999998E-5</v>
      </c>
      <c r="G7" s="32">
        <f t="shared" si="3"/>
        <v>1.1879999999999998E-5</v>
      </c>
      <c r="Q7">
        <f t="shared" si="4"/>
        <v>3.5999999999999998E-6</v>
      </c>
      <c r="R7">
        <f t="shared" si="0"/>
        <v>0</v>
      </c>
      <c r="S7">
        <f t="shared" si="0"/>
        <v>0</v>
      </c>
      <c r="U7">
        <f t="shared" si="5"/>
        <v>3.5999999999999998E-6</v>
      </c>
      <c r="V7">
        <f t="shared" si="1"/>
        <v>0</v>
      </c>
      <c r="W7">
        <f t="shared" si="1"/>
        <v>0</v>
      </c>
    </row>
    <row r="8" spans="2:23" ht="45" x14ac:dyDescent="0.25">
      <c r="B8" s="24" t="s">
        <v>24</v>
      </c>
      <c r="C8" s="16">
        <v>3.3</v>
      </c>
      <c r="D8" s="33">
        <v>1</v>
      </c>
      <c r="E8" s="33">
        <v>2.5</v>
      </c>
      <c r="F8" s="29">
        <f t="shared" si="2"/>
        <v>3.3</v>
      </c>
      <c r="G8" s="30">
        <f t="shared" si="3"/>
        <v>8.25</v>
      </c>
      <c r="Q8">
        <f t="shared" si="4"/>
        <v>1</v>
      </c>
      <c r="R8">
        <f t="shared" si="0"/>
        <v>0</v>
      </c>
      <c r="S8">
        <f t="shared" si="0"/>
        <v>0</v>
      </c>
      <c r="U8">
        <f t="shared" si="5"/>
        <v>2.5</v>
      </c>
      <c r="V8">
        <f t="shared" si="1"/>
        <v>0</v>
      </c>
      <c r="W8">
        <f t="shared" si="1"/>
        <v>0</v>
      </c>
    </row>
    <row r="9" spans="2:23" x14ac:dyDescent="0.25">
      <c r="B9" s="24" t="s">
        <v>25</v>
      </c>
      <c r="C9" s="16">
        <v>5</v>
      </c>
      <c r="D9" s="33">
        <v>0.1</v>
      </c>
      <c r="E9" s="33">
        <v>0.1</v>
      </c>
      <c r="F9" s="29">
        <f t="shared" si="2"/>
        <v>0.5</v>
      </c>
      <c r="G9" s="30">
        <f t="shared" si="3"/>
        <v>0.5</v>
      </c>
      <c r="H9" s="28"/>
      <c r="Q9">
        <f t="shared" si="4"/>
        <v>0</v>
      </c>
      <c r="R9">
        <f t="shared" si="0"/>
        <v>0.1</v>
      </c>
      <c r="S9">
        <f t="shared" si="0"/>
        <v>0</v>
      </c>
      <c r="U9">
        <f t="shared" si="5"/>
        <v>0</v>
      </c>
      <c r="V9">
        <f t="shared" si="1"/>
        <v>0.1</v>
      </c>
      <c r="W9">
        <f t="shared" si="1"/>
        <v>0</v>
      </c>
    </row>
    <row r="10" spans="2:23" ht="30" x14ac:dyDescent="0.25">
      <c r="B10" s="24" t="s">
        <v>26</v>
      </c>
      <c r="C10" s="16">
        <v>3.3</v>
      </c>
      <c r="D10" s="33">
        <v>0.25</v>
      </c>
      <c r="E10" s="33">
        <v>0.25</v>
      </c>
      <c r="F10" s="29">
        <f t="shared" si="2"/>
        <v>0.82499999999999996</v>
      </c>
      <c r="G10" s="30">
        <f t="shared" si="3"/>
        <v>0.82499999999999996</v>
      </c>
      <c r="Q10">
        <f t="shared" si="4"/>
        <v>0.25</v>
      </c>
      <c r="R10">
        <f t="shared" si="0"/>
        <v>0</v>
      </c>
      <c r="S10">
        <f t="shared" si="0"/>
        <v>0</v>
      </c>
      <c r="U10">
        <f t="shared" si="5"/>
        <v>0.25</v>
      </c>
      <c r="V10">
        <f t="shared" si="1"/>
        <v>0</v>
      </c>
      <c r="W10">
        <f t="shared" si="1"/>
        <v>0</v>
      </c>
    </row>
    <row r="11" spans="2:23" ht="30" x14ac:dyDescent="0.25">
      <c r="B11" s="24" t="s">
        <v>27</v>
      </c>
      <c r="C11" s="16">
        <v>3.3</v>
      </c>
      <c r="D11" s="33">
        <v>3.0999999999999999E-3</v>
      </c>
      <c r="E11" s="33">
        <v>3.8999999999999998E-3</v>
      </c>
      <c r="F11" s="29">
        <f t="shared" si="2"/>
        <v>1.023E-2</v>
      </c>
      <c r="G11" s="30">
        <f t="shared" si="3"/>
        <v>1.2869999999999999E-2</v>
      </c>
      <c r="Q11">
        <f t="shared" si="4"/>
        <v>3.0999999999999999E-3</v>
      </c>
      <c r="R11">
        <f t="shared" si="4"/>
        <v>0</v>
      </c>
      <c r="S11">
        <f t="shared" si="4"/>
        <v>0</v>
      </c>
      <c r="U11">
        <f t="shared" si="5"/>
        <v>3.8999999999999998E-3</v>
      </c>
      <c r="V11">
        <f t="shared" si="5"/>
        <v>0</v>
      </c>
      <c r="W11">
        <f t="shared" si="5"/>
        <v>0</v>
      </c>
    </row>
    <row r="12" spans="2:23" ht="45" x14ac:dyDescent="0.25">
      <c r="B12" s="24" t="s">
        <v>28</v>
      </c>
      <c r="C12" s="16">
        <v>3.3</v>
      </c>
      <c r="D12" s="33">
        <v>4.4999999999999997E-3</v>
      </c>
      <c r="E12" s="33">
        <v>6.0000000000000001E-3</v>
      </c>
      <c r="F12" s="29">
        <f t="shared" si="2"/>
        <v>1.4849999999999999E-2</v>
      </c>
      <c r="G12" s="30">
        <f t="shared" si="3"/>
        <v>1.9799999999999998E-2</v>
      </c>
      <c r="Q12">
        <f t="shared" si="4"/>
        <v>4.4999999999999997E-3</v>
      </c>
      <c r="R12">
        <f t="shared" si="4"/>
        <v>0</v>
      </c>
      <c r="S12">
        <f t="shared" si="4"/>
        <v>0</v>
      </c>
      <c r="U12">
        <f t="shared" si="5"/>
        <v>6.0000000000000001E-3</v>
      </c>
      <c r="V12">
        <f t="shared" si="5"/>
        <v>0</v>
      </c>
      <c r="W12">
        <f t="shared" si="5"/>
        <v>0</v>
      </c>
    </row>
    <row r="13" spans="2:23" x14ac:dyDescent="0.25">
      <c r="B13" s="24" t="s">
        <v>29</v>
      </c>
      <c r="C13" s="16">
        <v>3.3</v>
      </c>
      <c r="D13" s="33">
        <v>4.4999999999999999E-4</v>
      </c>
      <c r="E13" s="33">
        <v>6.4999999999999997E-4</v>
      </c>
      <c r="F13" s="29">
        <f t="shared" si="2"/>
        <v>1.4849999999999998E-3</v>
      </c>
      <c r="G13" s="30">
        <f t="shared" si="3"/>
        <v>2.1449999999999998E-3</v>
      </c>
      <c r="Q13">
        <f t="shared" si="4"/>
        <v>4.4999999999999999E-4</v>
      </c>
      <c r="R13">
        <f t="shared" si="4"/>
        <v>0</v>
      </c>
      <c r="S13">
        <f t="shared" si="4"/>
        <v>0</v>
      </c>
      <c r="U13">
        <f t="shared" si="5"/>
        <v>6.4999999999999997E-4</v>
      </c>
      <c r="V13">
        <f t="shared" si="5"/>
        <v>0</v>
      </c>
      <c r="W13">
        <f t="shared" si="5"/>
        <v>0</v>
      </c>
    </row>
    <row r="14" spans="2:23" x14ac:dyDescent="0.25">
      <c r="B14" s="24" t="s">
        <v>30</v>
      </c>
      <c r="C14" s="16">
        <v>3.3</v>
      </c>
      <c r="D14" s="33">
        <v>2E-3</v>
      </c>
      <c r="E14" s="33">
        <v>3.5000000000000001E-3</v>
      </c>
      <c r="F14" s="29">
        <f t="shared" si="2"/>
        <v>6.6E-3</v>
      </c>
      <c r="G14" s="30">
        <f t="shared" si="3"/>
        <v>1.155E-2</v>
      </c>
      <c r="Q14">
        <f t="shared" si="4"/>
        <v>2E-3</v>
      </c>
      <c r="R14">
        <f t="shared" si="4"/>
        <v>0</v>
      </c>
      <c r="S14">
        <f t="shared" si="4"/>
        <v>0</v>
      </c>
      <c r="U14">
        <f t="shared" si="5"/>
        <v>3.5000000000000001E-3</v>
      </c>
      <c r="V14">
        <f t="shared" si="5"/>
        <v>0</v>
      </c>
      <c r="W14">
        <f t="shared" si="5"/>
        <v>0</v>
      </c>
    </row>
    <row r="15" spans="2:23" x14ac:dyDescent="0.25">
      <c r="B15" s="24" t="s">
        <v>31</v>
      </c>
      <c r="C15" s="16">
        <v>3.3</v>
      </c>
      <c r="D15" s="33">
        <v>7.5000000000000002E-4</v>
      </c>
      <c r="E15" s="33">
        <v>1.1999999999999999E-3</v>
      </c>
      <c r="F15" s="29">
        <f t="shared" ref="F15:F17" si="6">$C15*D15</f>
        <v>2.4749999999999998E-3</v>
      </c>
      <c r="G15" s="30">
        <f t="shared" ref="G15:G17" si="7">$C15*E15</f>
        <v>3.9599999999999991E-3</v>
      </c>
      <c r="Q15">
        <f t="shared" si="4"/>
        <v>7.5000000000000002E-4</v>
      </c>
      <c r="R15">
        <f t="shared" si="4"/>
        <v>0</v>
      </c>
      <c r="S15">
        <f t="shared" si="4"/>
        <v>0</v>
      </c>
      <c r="U15">
        <f t="shared" si="5"/>
        <v>1.1999999999999999E-3</v>
      </c>
      <c r="V15">
        <f t="shared" si="5"/>
        <v>0</v>
      </c>
      <c r="W15">
        <f t="shared" si="5"/>
        <v>0</v>
      </c>
    </row>
    <row r="16" spans="2:23" x14ac:dyDescent="0.25">
      <c r="B16" s="24" t="s">
        <v>32</v>
      </c>
      <c r="C16" s="16">
        <v>5</v>
      </c>
      <c r="D16" s="33">
        <v>1</v>
      </c>
      <c r="E16" s="33">
        <v>1</v>
      </c>
      <c r="F16" s="29">
        <f t="shared" si="6"/>
        <v>5</v>
      </c>
      <c r="G16" s="30">
        <f t="shared" si="7"/>
        <v>5</v>
      </c>
      <c r="Q16">
        <f t="shared" si="4"/>
        <v>0</v>
      </c>
      <c r="R16">
        <f t="shared" si="4"/>
        <v>1</v>
      </c>
      <c r="S16">
        <f t="shared" si="4"/>
        <v>0</v>
      </c>
      <c r="U16">
        <f t="shared" si="5"/>
        <v>0</v>
      </c>
      <c r="V16">
        <f t="shared" si="5"/>
        <v>1</v>
      </c>
      <c r="W16">
        <f t="shared" si="5"/>
        <v>0</v>
      </c>
    </row>
    <row r="17" spans="2:23" ht="15.75" thickBot="1" x14ac:dyDescent="0.3">
      <c r="B17" s="38" t="s">
        <v>33</v>
      </c>
      <c r="C17" s="17">
        <v>3.3</v>
      </c>
      <c r="D17" s="39">
        <v>1.0000000000000001E-5</v>
      </c>
      <c r="E17" s="39">
        <v>0.1</v>
      </c>
      <c r="F17" s="40">
        <f t="shared" si="6"/>
        <v>3.3000000000000003E-5</v>
      </c>
      <c r="G17" s="41">
        <f t="shared" si="7"/>
        <v>0.33</v>
      </c>
      <c r="Q17">
        <f t="shared" si="4"/>
        <v>1.0000000000000001E-5</v>
      </c>
      <c r="R17">
        <f t="shared" si="4"/>
        <v>0</v>
      </c>
      <c r="S17">
        <f t="shared" si="4"/>
        <v>0</v>
      </c>
      <c r="U17">
        <f t="shared" si="5"/>
        <v>0.1</v>
      </c>
      <c r="V17">
        <f t="shared" si="5"/>
        <v>0</v>
      </c>
      <c r="W17">
        <f t="shared" si="5"/>
        <v>0</v>
      </c>
    </row>
    <row r="18" spans="2:23" x14ac:dyDescent="0.25">
      <c r="B18" s="34"/>
      <c r="C18" s="35"/>
      <c r="D18" s="35"/>
      <c r="E18" s="35"/>
      <c r="F18" s="36"/>
      <c r="G18" s="37"/>
      <c r="Q18">
        <f t="shared" si="4"/>
        <v>0</v>
      </c>
      <c r="R18">
        <f t="shared" si="4"/>
        <v>0</v>
      </c>
      <c r="S18">
        <f t="shared" si="4"/>
        <v>0</v>
      </c>
      <c r="U18">
        <f t="shared" si="5"/>
        <v>0</v>
      </c>
      <c r="V18">
        <f t="shared" si="5"/>
        <v>0</v>
      </c>
      <c r="W18">
        <f t="shared" si="5"/>
        <v>0</v>
      </c>
    </row>
    <row r="19" spans="2:23" x14ac:dyDescent="0.25">
      <c r="Q19">
        <f t="shared" si="4"/>
        <v>0</v>
      </c>
      <c r="R19">
        <f t="shared" si="4"/>
        <v>0</v>
      </c>
      <c r="S19">
        <f t="shared" si="4"/>
        <v>0</v>
      </c>
      <c r="U19">
        <f t="shared" si="5"/>
        <v>0</v>
      </c>
      <c r="V19">
        <f t="shared" si="5"/>
        <v>0</v>
      </c>
      <c r="W19">
        <f t="shared" si="5"/>
        <v>0</v>
      </c>
    </row>
    <row r="20" spans="2:23" x14ac:dyDescent="0.25">
      <c r="Q20">
        <f t="shared" si="4"/>
        <v>0</v>
      </c>
      <c r="R20">
        <f t="shared" si="4"/>
        <v>0</v>
      </c>
      <c r="S20">
        <f t="shared" si="4"/>
        <v>0</v>
      </c>
      <c r="U20">
        <f t="shared" si="5"/>
        <v>0</v>
      </c>
      <c r="V20">
        <f t="shared" si="5"/>
        <v>0</v>
      </c>
      <c r="W20">
        <f t="shared" si="5"/>
        <v>0</v>
      </c>
    </row>
    <row r="21" spans="2:23" x14ac:dyDescent="0.25">
      <c r="Q21">
        <f t="shared" si="4"/>
        <v>0</v>
      </c>
      <c r="R21">
        <f t="shared" si="4"/>
        <v>0</v>
      </c>
      <c r="S21">
        <f t="shared" si="4"/>
        <v>0</v>
      </c>
      <c r="U21">
        <f t="shared" si="5"/>
        <v>0</v>
      </c>
      <c r="V21">
        <f t="shared" si="5"/>
        <v>0</v>
      </c>
      <c r="W21">
        <f t="shared" si="5"/>
        <v>0</v>
      </c>
    </row>
    <row r="22" spans="2:23" x14ac:dyDescent="0.25">
      <c r="Q22">
        <f t="shared" si="4"/>
        <v>0</v>
      </c>
      <c r="R22">
        <f t="shared" si="4"/>
        <v>0</v>
      </c>
      <c r="S22">
        <f t="shared" si="4"/>
        <v>0</v>
      </c>
      <c r="U22">
        <f t="shared" si="5"/>
        <v>0</v>
      </c>
      <c r="V22">
        <f t="shared" si="5"/>
        <v>0</v>
      </c>
      <c r="W22">
        <f t="shared" si="5"/>
        <v>0</v>
      </c>
    </row>
    <row r="23" spans="2:23" x14ac:dyDescent="0.25">
      <c r="Q23">
        <f t="shared" si="4"/>
        <v>0</v>
      </c>
      <c r="R23">
        <f t="shared" si="4"/>
        <v>0</v>
      </c>
      <c r="S23">
        <f t="shared" si="4"/>
        <v>0</v>
      </c>
      <c r="U23">
        <f t="shared" si="5"/>
        <v>0</v>
      </c>
      <c r="V23">
        <f t="shared" si="5"/>
        <v>0</v>
      </c>
      <c r="W23">
        <f t="shared" si="5"/>
        <v>0</v>
      </c>
    </row>
    <row r="24" spans="2:23" x14ac:dyDescent="0.25">
      <c r="Q24">
        <f t="shared" ref="Q24:S55" si="8">IF($C24=Q$2,$D24,0)</f>
        <v>0</v>
      </c>
      <c r="R24">
        <f t="shared" si="8"/>
        <v>0</v>
      </c>
      <c r="S24">
        <f t="shared" si="8"/>
        <v>0</v>
      </c>
      <c r="U24">
        <f t="shared" ref="U24:W55" si="9">IF($C24=U$2,$E24,0)</f>
        <v>0</v>
      </c>
      <c r="V24">
        <f t="shared" si="9"/>
        <v>0</v>
      </c>
      <c r="W24">
        <f t="shared" si="9"/>
        <v>0</v>
      </c>
    </row>
    <row r="25" spans="2:23" x14ac:dyDescent="0.25">
      <c r="Q25">
        <f t="shared" si="8"/>
        <v>0</v>
      </c>
      <c r="R25">
        <f t="shared" si="8"/>
        <v>0</v>
      </c>
      <c r="S25">
        <f t="shared" si="8"/>
        <v>0</v>
      </c>
      <c r="U25">
        <f t="shared" si="9"/>
        <v>0</v>
      </c>
      <c r="V25">
        <f t="shared" si="9"/>
        <v>0</v>
      </c>
      <c r="W25">
        <f t="shared" si="9"/>
        <v>0</v>
      </c>
    </row>
    <row r="26" spans="2:23" x14ac:dyDescent="0.25">
      <c r="Q26">
        <f t="shared" si="8"/>
        <v>0</v>
      </c>
      <c r="R26">
        <f t="shared" si="8"/>
        <v>0</v>
      </c>
      <c r="S26">
        <f t="shared" si="8"/>
        <v>0</v>
      </c>
      <c r="U26">
        <f t="shared" si="9"/>
        <v>0</v>
      </c>
      <c r="V26">
        <f t="shared" si="9"/>
        <v>0</v>
      </c>
      <c r="W26">
        <f t="shared" si="9"/>
        <v>0</v>
      </c>
    </row>
    <row r="27" spans="2:23" x14ac:dyDescent="0.25">
      <c r="Q27">
        <f t="shared" si="8"/>
        <v>0</v>
      </c>
      <c r="R27">
        <f t="shared" si="8"/>
        <v>0</v>
      </c>
      <c r="S27">
        <f t="shared" si="8"/>
        <v>0</v>
      </c>
      <c r="U27">
        <f t="shared" si="9"/>
        <v>0</v>
      </c>
      <c r="V27">
        <f t="shared" si="9"/>
        <v>0</v>
      </c>
      <c r="W27">
        <f t="shared" si="9"/>
        <v>0</v>
      </c>
    </row>
    <row r="28" spans="2:23" x14ac:dyDescent="0.25">
      <c r="Q28">
        <f t="shared" si="8"/>
        <v>0</v>
      </c>
      <c r="R28">
        <f t="shared" si="8"/>
        <v>0</v>
      </c>
      <c r="S28">
        <f t="shared" si="8"/>
        <v>0</v>
      </c>
      <c r="U28">
        <f t="shared" si="9"/>
        <v>0</v>
      </c>
      <c r="V28">
        <f t="shared" si="9"/>
        <v>0</v>
      </c>
      <c r="W28">
        <f t="shared" si="9"/>
        <v>0</v>
      </c>
    </row>
    <row r="29" spans="2:23" x14ac:dyDescent="0.25">
      <c r="Q29">
        <f t="shared" si="8"/>
        <v>0</v>
      </c>
      <c r="R29">
        <f t="shared" si="8"/>
        <v>0</v>
      </c>
      <c r="S29">
        <f t="shared" si="8"/>
        <v>0</v>
      </c>
      <c r="U29">
        <f t="shared" si="9"/>
        <v>0</v>
      </c>
      <c r="V29">
        <f t="shared" si="9"/>
        <v>0</v>
      </c>
      <c r="W29">
        <f t="shared" si="9"/>
        <v>0</v>
      </c>
    </row>
    <row r="30" spans="2:23" x14ac:dyDescent="0.25">
      <c r="Q30">
        <f t="shared" si="8"/>
        <v>0</v>
      </c>
      <c r="R30">
        <f t="shared" si="8"/>
        <v>0</v>
      </c>
      <c r="S30">
        <f t="shared" si="8"/>
        <v>0</v>
      </c>
      <c r="U30">
        <f t="shared" si="9"/>
        <v>0</v>
      </c>
      <c r="V30">
        <f t="shared" si="9"/>
        <v>0</v>
      </c>
      <c r="W30">
        <f t="shared" si="9"/>
        <v>0</v>
      </c>
    </row>
    <row r="31" spans="2:23" x14ac:dyDescent="0.25">
      <c r="Q31">
        <f t="shared" si="8"/>
        <v>0</v>
      </c>
      <c r="R31">
        <f t="shared" si="8"/>
        <v>0</v>
      </c>
      <c r="S31">
        <f t="shared" si="8"/>
        <v>0</v>
      </c>
      <c r="U31">
        <f t="shared" si="9"/>
        <v>0</v>
      </c>
      <c r="V31">
        <f t="shared" si="9"/>
        <v>0</v>
      </c>
      <c r="W31">
        <f t="shared" si="9"/>
        <v>0</v>
      </c>
    </row>
    <row r="32" spans="2:23" x14ac:dyDescent="0.25">
      <c r="Q32">
        <f t="shared" si="8"/>
        <v>0</v>
      </c>
      <c r="R32">
        <f t="shared" si="8"/>
        <v>0</v>
      </c>
      <c r="S32">
        <f t="shared" si="8"/>
        <v>0</v>
      </c>
      <c r="U32">
        <f t="shared" si="9"/>
        <v>0</v>
      </c>
      <c r="V32">
        <f t="shared" si="9"/>
        <v>0</v>
      </c>
      <c r="W32">
        <f t="shared" si="9"/>
        <v>0</v>
      </c>
    </row>
    <row r="33" spans="17:23" x14ac:dyDescent="0.25">
      <c r="Q33">
        <f t="shared" si="8"/>
        <v>0</v>
      </c>
      <c r="R33">
        <f t="shared" si="8"/>
        <v>0</v>
      </c>
      <c r="S33">
        <f t="shared" si="8"/>
        <v>0</v>
      </c>
      <c r="U33">
        <f t="shared" si="9"/>
        <v>0</v>
      </c>
      <c r="V33">
        <f t="shared" si="9"/>
        <v>0</v>
      </c>
      <c r="W33">
        <f t="shared" si="9"/>
        <v>0</v>
      </c>
    </row>
    <row r="34" spans="17:23" x14ac:dyDescent="0.25">
      <c r="Q34">
        <f t="shared" si="8"/>
        <v>0</v>
      </c>
      <c r="R34">
        <f t="shared" si="8"/>
        <v>0</v>
      </c>
      <c r="S34">
        <f t="shared" si="8"/>
        <v>0</v>
      </c>
      <c r="U34">
        <f t="shared" si="9"/>
        <v>0</v>
      </c>
      <c r="V34">
        <f t="shared" si="9"/>
        <v>0</v>
      </c>
      <c r="W34">
        <f t="shared" si="9"/>
        <v>0</v>
      </c>
    </row>
    <row r="35" spans="17:23" x14ac:dyDescent="0.25">
      <c r="Q35">
        <f t="shared" si="8"/>
        <v>0</v>
      </c>
      <c r="R35">
        <f t="shared" si="8"/>
        <v>0</v>
      </c>
      <c r="S35">
        <f t="shared" si="8"/>
        <v>0</v>
      </c>
      <c r="U35">
        <f t="shared" si="9"/>
        <v>0</v>
      </c>
      <c r="V35">
        <f t="shared" si="9"/>
        <v>0</v>
      </c>
      <c r="W35">
        <f t="shared" si="9"/>
        <v>0</v>
      </c>
    </row>
    <row r="36" spans="17:23" x14ac:dyDescent="0.25">
      <c r="Q36">
        <f t="shared" si="8"/>
        <v>0</v>
      </c>
      <c r="R36">
        <f t="shared" si="8"/>
        <v>0</v>
      </c>
      <c r="S36">
        <f t="shared" si="8"/>
        <v>0</v>
      </c>
      <c r="U36">
        <f t="shared" si="9"/>
        <v>0</v>
      </c>
      <c r="V36">
        <f t="shared" si="9"/>
        <v>0</v>
      </c>
      <c r="W36">
        <f t="shared" si="9"/>
        <v>0</v>
      </c>
    </row>
    <row r="37" spans="17:23" x14ac:dyDescent="0.25">
      <c r="Q37">
        <f t="shared" si="8"/>
        <v>0</v>
      </c>
      <c r="R37">
        <f t="shared" si="8"/>
        <v>0</v>
      </c>
      <c r="S37">
        <f t="shared" si="8"/>
        <v>0</v>
      </c>
      <c r="U37">
        <f t="shared" si="9"/>
        <v>0</v>
      </c>
      <c r="V37">
        <f t="shared" si="9"/>
        <v>0</v>
      </c>
      <c r="W37">
        <f t="shared" si="9"/>
        <v>0</v>
      </c>
    </row>
    <row r="38" spans="17:23" x14ac:dyDescent="0.25">
      <c r="Q38">
        <f t="shared" si="8"/>
        <v>0</v>
      </c>
      <c r="R38">
        <f t="shared" si="8"/>
        <v>0</v>
      </c>
      <c r="S38">
        <f t="shared" si="8"/>
        <v>0</v>
      </c>
      <c r="U38">
        <f t="shared" si="9"/>
        <v>0</v>
      </c>
      <c r="V38">
        <f t="shared" si="9"/>
        <v>0</v>
      </c>
      <c r="W38">
        <f t="shared" si="9"/>
        <v>0</v>
      </c>
    </row>
    <row r="39" spans="17:23" x14ac:dyDescent="0.25">
      <c r="Q39">
        <f t="shared" si="8"/>
        <v>0</v>
      </c>
      <c r="R39">
        <f t="shared" si="8"/>
        <v>0</v>
      </c>
      <c r="S39">
        <f t="shared" si="8"/>
        <v>0</v>
      </c>
      <c r="U39">
        <f t="shared" si="9"/>
        <v>0</v>
      </c>
      <c r="V39">
        <f t="shared" si="9"/>
        <v>0</v>
      </c>
      <c r="W39">
        <f t="shared" si="9"/>
        <v>0</v>
      </c>
    </row>
    <row r="40" spans="17:23" x14ac:dyDescent="0.25">
      <c r="Q40">
        <f t="shared" si="8"/>
        <v>0</v>
      </c>
      <c r="R40">
        <f t="shared" si="8"/>
        <v>0</v>
      </c>
      <c r="S40">
        <f t="shared" si="8"/>
        <v>0</v>
      </c>
      <c r="U40">
        <f t="shared" si="9"/>
        <v>0</v>
      </c>
      <c r="V40">
        <f t="shared" si="9"/>
        <v>0</v>
      </c>
      <c r="W40">
        <f t="shared" si="9"/>
        <v>0</v>
      </c>
    </row>
    <row r="41" spans="17:23" x14ac:dyDescent="0.25">
      <c r="Q41">
        <f t="shared" si="8"/>
        <v>0</v>
      </c>
      <c r="R41">
        <f t="shared" si="8"/>
        <v>0</v>
      </c>
      <c r="S41">
        <f t="shared" si="8"/>
        <v>0</v>
      </c>
      <c r="U41">
        <f t="shared" si="9"/>
        <v>0</v>
      </c>
      <c r="V41">
        <f t="shared" si="9"/>
        <v>0</v>
      </c>
      <c r="W41">
        <f t="shared" si="9"/>
        <v>0</v>
      </c>
    </row>
    <row r="42" spans="17:23" x14ac:dyDescent="0.25">
      <c r="Q42">
        <f t="shared" si="8"/>
        <v>0</v>
      </c>
      <c r="R42">
        <f t="shared" si="8"/>
        <v>0</v>
      </c>
      <c r="S42">
        <f t="shared" si="8"/>
        <v>0</v>
      </c>
      <c r="U42">
        <f t="shared" si="9"/>
        <v>0</v>
      </c>
      <c r="V42">
        <f t="shared" si="9"/>
        <v>0</v>
      </c>
      <c r="W42">
        <f t="shared" si="9"/>
        <v>0</v>
      </c>
    </row>
    <row r="43" spans="17:23" x14ac:dyDescent="0.25">
      <c r="Q43">
        <f t="shared" si="8"/>
        <v>0</v>
      </c>
      <c r="R43">
        <f t="shared" si="8"/>
        <v>0</v>
      </c>
      <c r="S43">
        <f t="shared" si="8"/>
        <v>0</v>
      </c>
      <c r="U43">
        <f t="shared" si="9"/>
        <v>0</v>
      </c>
      <c r="V43">
        <f t="shared" si="9"/>
        <v>0</v>
      </c>
      <c r="W43">
        <f t="shared" si="9"/>
        <v>0</v>
      </c>
    </row>
    <row r="44" spans="17:23" x14ac:dyDescent="0.25">
      <c r="Q44">
        <f t="shared" si="8"/>
        <v>0</v>
      </c>
      <c r="R44">
        <f t="shared" si="8"/>
        <v>0</v>
      </c>
      <c r="S44">
        <f t="shared" si="8"/>
        <v>0</v>
      </c>
      <c r="U44">
        <f t="shared" si="9"/>
        <v>0</v>
      </c>
      <c r="V44">
        <f t="shared" si="9"/>
        <v>0</v>
      </c>
      <c r="W44">
        <f t="shared" si="9"/>
        <v>0</v>
      </c>
    </row>
    <row r="45" spans="17:23" x14ac:dyDescent="0.25">
      <c r="Q45">
        <f t="shared" si="8"/>
        <v>0</v>
      </c>
      <c r="R45">
        <f t="shared" si="8"/>
        <v>0</v>
      </c>
      <c r="S45">
        <f t="shared" si="8"/>
        <v>0</v>
      </c>
      <c r="U45">
        <f t="shared" si="9"/>
        <v>0</v>
      </c>
      <c r="V45">
        <f t="shared" si="9"/>
        <v>0</v>
      </c>
      <c r="W45">
        <f t="shared" si="9"/>
        <v>0</v>
      </c>
    </row>
    <row r="46" spans="17:23" x14ac:dyDescent="0.25">
      <c r="Q46">
        <f t="shared" si="8"/>
        <v>0</v>
      </c>
      <c r="R46">
        <f t="shared" si="8"/>
        <v>0</v>
      </c>
      <c r="S46">
        <f t="shared" si="8"/>
        <v>0</v>
      </c>
      <c r="U46">
        <f t="shared" si="9"/>
        <v>0</v>
      </c>
      <c r="V46">
        <f t="shared" si="9"/>
        <v>0</v>
      </c>
      <c r="W46">
        <f t="shared" si="9"/>
        <v>0</v>
      </c>
    </row>
    <row r="47" spans="17:23" x14ac:dyDescent="0.25">
      <c r="Q47">
        <f t="shared" si="8"/>
        <v>0</v>
      </c>
      <c r="R47">
        <f t="shared" si="8"/>
        <v>0</v>
      </c>
      <c r="S47">
        <f t="shared" si="8"/>
        <v>0</v>
      </c>
      <c r="U47">
        <f t="shared" si="9"/>
        <v>0</v>
      </c>
      <c r="V47">
        <f t="shared" si="9"/>
        <v>0</v>
      </c>
      <c r="W47">
        <f t="shared" si="9"/>
        <v>0</v>
      </c>
    </row>
    <row r="48" spans="17:23" x14ac:dyDescent="0.25">
      <c r="Q48">
        <f t="shared" si="8"/>
        <v>0</v>
      </c>
      <c r="R48">
        <f t="shared" si="8"/>
        <v>0</v>
      </c>
      <c r="S48">
        <f t="shared" si="8"/>
        <v>0</v>
      </c>
      <c r="U48">
        <f t="shared" si="9"/>
        <v>0</v>
      </c>
      <c r="V48">
        <f t="shared" si="9"/>
        <v>0</v>
      </c>
      <c r="W48">
        <f t="shared" si="9"/>
        <v>0</v>
      </c>
    </row>
    <row r="49" spans="17:23" x14ac:dyDescent="0.25">
      <c r="Q49">
        <f t="shared" si="8"/>
        <v>0</v>
      </c>
      <c r="R49">
        <f t="shared" si="8"/>
        <v>0</v>
      </c>
      <c r="S49">
        <f t="shared" si="8"/>
        <v>0</v>
      </c>
      <c r="U49">
        <f t="shared" si="9"/>
        <v>0</v>
      </c>
      <c r="V49">
        <f t="shared" si="9"/>
        <v>0</v>
      </c>
      <c r="W49">
        <f t="shared" si="9"/>
        <v>0</v>
      </c>
    </row>
    <row r="50" spans="17:23" x14ac:dyDescent="0.25">
      <c r="Q50">
        <f t="shared" si="8"/>
        <v>0</v>
      </c>
      <c r="R50">
        <f t="shared" si="8"/>
        <v>0</v>
      </c>
      <c r="S50">
        <f t="shared" si="8"/>
        <v>0</v>
      </c>
      <c r="U50">
        <f t="shared" si="9"/>
        <v>0</v>
      </c>
      <c r="V50">
        <f t="shared" si="9"/>
        <v>0</v>
      </c>
      <c r="W50">
        <f t="shared" si="9"/>
        <v>0</v>
      </c>
    </row>
    <row r="51" spans="17:23" x14ac:dyDescent="0.25">
      <c r="Q51">
        <f t="shared" si="8"/>
        <v>0</v>
      </c>
      <c r="R51">
        <f t="shared" si="8"/>
        <v>0</v>
      </c>
      <c r="S51">
        <f t="shared" si="8"/>
        <v>0</v>
      </c>
      <c r="U51">
        <f t="shared" si="9"/>
        <v>0</v>
      </c>
      <c r="V51">
        <f t="shared" si="9"/>
        <v>0</v>
      </c>
      <c r="W51">
        <f t="shared" si="9"/>
        <v>0</v>
      </c>
    </row>
    <row r="52" spans="17:23" x14ac:dyDescent="0.25">
      <c r="Q52">
        <f t="shared" si="8"/>
        <v>0</v>
      </c>
      <c r="R52">
        <f t="shared" si="8"/>
        <v>0</v>
      </c>
      <c r="S52">
        <f t="shared" si="8"/>
        <v>0</v>
      </c>
      <c r="U52">
        <f t="shared" si="9"/>
        <v>0</v>
      </c>
      <c r="V52">
        <f t="shared" si="9"/>
        <v>0</v>
      </c>
      <c r="W52">
        <f t="shared" si="9"/>
        <v>0</v>
      </c>
    </row>
    <row r="53" spans="17:23" x14ac:dyDescent="0.25">
      <c r="Q53">
        <f t="shared" si="8"/>
        <v>0</v>
      </c>
      <c r="R53">
        <f t="shared" si="8"/>
        <v>0</v>
      </c>
      <c r="S53">
        <f t="shared" si="8"/>
        <v>0</v>
      </c>
      <c r="U53">
        <f t="shared" si="9"/>
        <v>0</v>
      </c>
      <c r="V53">
        <f t="shared" si="9"/>
        <v>0</v>
      </c>
      <c r="W53">
        <f t="shared" si="9"/>
        <v>0</v>
      </c>
    </row>
    <row r="54" spans="17:23" x14ac:dyDescent="0.25">
      <c r="Q54">
        <f t="shared" si="8"/>
        <v>0</v>
      </c>
      <c r="R54">
        <f t="shared" si="8"/>
        <v>0</v>
      </c>
      <c r="S54">
        <f t="shared" si="8"/>
        <v>0</v>
      </c>
      <c r="U54">
        <f t="shared" si="9"/>
        <v>0</v>
      </c>
      <c r="V54">
        <f t="shared" si="9"/>
        <v>0</v>
      </c>
      <c r="W54">
        <f t="shared" si="9"/>
        <v>0</v>
      </c>
    </row>
    <row r="55" spans="17:23" x14ac:dyDescent="0.25">
      <c r="Q55">
        <f t="shared" si="8"/>
        <v>0</v>
      </c>
      <c r="R55">
        <f t="shared" si="8"/>
        <v>0</v>
      </c>
      <c r="S55">
        <f t="shared" si="8"/>
        <v>0</v>
      </c>
      <c r="U55">
        <f t="shared" si="9"/>
        <v>0</v>
      </c>
      <c r="V55">
        <f t="shared" si="9"/>
        <v>0</v>
      </c>
      <c r="W55">
        <f t="shared" si="9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1A6CE-5CF2-43D9-A78D-18FC7DA62BEE}">
  <dimension ref="B1:M19"/>
  <sheetViews>
    <sheetView tabSelected="1" workbookViewId="0">
      <selection activeCell="J17" sqref="J17"/>
    </sheetView>
  </sheetViews>
  <sheetFormatPr defaultRowHeight="15" x14ac:dyDescent="0.25"/>
  <cols>
    <col min="2" max="2" width="17" customWidth="1"/>
    <col min="3" max="3" width="10.5703125" customWidth="1"/>
    <col min="4" max="4" width="11.140625" customWidth="1"/>
    <col min="5" max="5" width="10.42578125" customWidth="1"/>
    <col min="6" max="6" width="11.42578125" customWidth="1"/>
    <col min="7" max="7" width="10.7109375" customWidth="1"/>
  </cols>
  <sheetData>
    <row r="1" spans="2:13" ht="15.75" thickBot="1" x14ac:dyDescent="0.3"/>
    <row r="2" spans="2:13" s="1" customFormat="1" ht="15.75" thickBot="1" x14ac:dyDescent="0.3">
      <c r="B2" s="3" t="s">
        <v>14</v>
      </c>
    </row>
    <row r="3" spans="2:13" s="9" customFormat="1" ht="37.5" customHeight="1" x14ac:dyDescent="0.25">
      <c r="B3" s="6" t="s">
        <v>7</v>
      </c>
      <c r="C3" s="7" t="s">
        <v>8</v>
      </c>
      <c r="D3" s="7" t="s">
        <v>9</v>
      </c>
      <c r="E3" s="7" t="s">
        <v>11</v>
      </c>
      <c r="F3" s="7" t="s">
        <v>12</v>
      </c>
      <c r="G3" s="8" t="s">
        <v>13</v>
      </c>
      <c r="H3" s="2"/>
      <c r="M3" s="12" t="s">
        <v>21</v>
      </c>
    </row>
    <row r="4" spans="2:13" ht="15.75" thickBot="1" x14ac:dyDescent="0.3">
      <c r="B4" s="18">
        <v>3.3</v>
      </c>
      <c r="C4" s="14">
        <v>0.9</v>
      </c>
      <c r="D4" s="20">
        <f>SUM('Component consumptions'!Q3:Q87)</f>
        <v>1.2808136000000001</v>
      </c>
      <c r="E4" s="20">
        <f>B4*D4</f>
        <v>4.2266848800000005</v>
      </c>
      <c r="F4" s="20">
        <f>E4/C4</f>
        <v>4.6963165333333334</v>
      </c>
      <c r="G4" s="21">
        <f>F4-E4</f>
        <v>0.4696316533333329</v>
      </c>
      <c r="M4" s="13">
        <v>4</v>
      </c>
    </row>
    <row r="5" spans="2:13" x14ac:dyDescent="0.25">
      <c r="B5" s="18">
        <v>5</v>
      </c>
      <c r="C5" s="14">
        <v>0.9</v>
      </c>
      <c r="D5" s="20">
        <f>SUM('Component consumptions'!R3:R87)</f>
        <v>2.5</v>
      </c>
      <c r="E5" s="20">
        <f t="shared" ref="E5:E6" si="0">B5*D5</f>
        <v>12.5</v>
      </c>
      <c r="F5" s="20">
        <f t="shared" ref="F5:F6" si="1">E5/C5</f>
        <v>13.888888888888889</v>
      </c>
      <c r="G5" s="21">
        <f t="shared" ref="G5:G6" si="2">F5-E5</f>
        <v>1.3888888888888893</v>
      </c>
    </row>
    <row r="6" spans="2:13" ht="15.75" thickBot="1" x14ac:dyDescent="0.3">
      <c r="B6" s="19">
        <v>7</v>
      </c>
      <c r="C6" s="15">
        <v>0.9</v>
      </c>
      <c r="D6" s="22">
        <f>SUM('Component consumptions'!S3:S87)</f>
        <v>0.5</v>
      </c>
      <c r="E6" s="20">
        <f t="shared" si="0"/>
        <v>3.5</v>
      </c>
      <c r="F6" s="20">
        <f t="shared" si="1"/>
        <v>3.8888888888888888</v>
      </c>
      <c r="G6" s="21">
        <f t="shared" si="2"/>
        <v>0.38888888888888884</v>
      </c>
    </row>
    <row r="7" spans="2:13" s="2" customFormat="1" ht="36.75" customHeight="1" x14ac:dyDescent="0.25">
      <c r="B7" s="6"/>
      <c r="C7" s="7" t="s">
        <v>12</v>
      </c>
      <c r="D7" s="7" t="s">
        <v>18</v>
      </c>
      <c r="E7" s="7" t="s">
        <v>10</v>
      </c>
      <c r="F7" s="7" t="s">
        <v>19</v>
      </c>
      <c r="G7" s="8" t="s">
        <v>20</v>
      </c>
    </row>
    <row r="8" spans="2:13" x14ac:dyDescent="0.25">
      <c r="B8" s="10" t="s">
        <v>16</v>
      </c>
      <c r="C8" s="20">
        <f>SUM(F4:F6)</f>
        <v>22.474094311111113</v>
      </c>
      <c r="D8" s="16">
        <v>28</v>
      </c>
      <c r="E8" s="20">
        <f>C8/D8</f>
        <v>0.80264622539682551</v>
      </c>
      <c r="F8" s="20">
        <f>C8*$M$4</f>
        <v>89.896377244444452</v>
      </c>
      <c r="G8" s="21">
        <f>E8*$M$4</f>
        <v>3.210584901587302</v>
      </c>
    </row>
    <row r="9" spans="2:13" ht="15.75" thickBot="1" x14ac:dyDescent="0.3">
      <c r="B9" s="11" t="s">
        <v>17</v>
      </c>
      <c r="C9" s="22">
        <f>C8*1.1</f>
        <v>24.721503742222225</v>
      </c>
      <c r="D9" s="17">
        <v>28</v>
      </c>
      <c r="E9" s="27">
        <f>C9/D9</f>
        <v>0.88291084793650809</v>
      </c>
      <c r="F9" s="22">
        <f>C9*$M$4</f>
        <v>98.886014968888901</v>
      </c>
      <c r="G9" s="23">
        <f>E9*$M$4</f>
        <v>3.5316433917460324</v>
      </c>
    </row>
    <row r="11" spans="2:13" ht="15.75" thickBot="1" x14ac:dyDescent="0.3"/>
    <row r="12" spans="2:13" s="1" customFormat="1" ht="15.75" thickBot="1" x14ac:dyDescent="0.3">
      <c r="B12" s="3" t="s">
        <v>15</v>
      </c>
    </row>
    <row r="13" spans="2:13" s="9" customFormat="1" ht="37.5" customHeight="1" x14ac:dyDescent="0.25">
      <c r="B13" s="6" t="s">
        <v>7</v>
      </c>
      <c r="C13" s="7" t="s">
        <v>8</v>
      </c>
      <c r="D13" s="7" t="s">
        <v>9</v>
      </c>
      <c r="E13" s="7" t="s">
        <v>11</v>
      </c>
      <c r="F13" s="7" t="s">
        <v>12</v>
      </c>
      <c r="G13" s="8" t="s">
        <v>13</v>
      </c>
      <c r="H13" s="2"/>
    </row>
    <row r="14" spans="2:13" x14ac:dyDescent="0.25">
      <c r="B14" s="18">
        <v>3.3</v>
      </c>
      <c r="C14" s="14">
        <v>0.9</v>
      </c>
      <c r="D14" s="20">
        <f>SUM('Component consumptions'!U3:U87)</f>
        <v>2.9652535999999992</v>
      </c>
      <c r="E14" s="20">
        <f>B14*D14</f>
        <v>9.7853368799999974</v>
      </c>
      <c r="F14" s="20">
        <f>E14/C14</f>
        <v>10.872596533333331</v>
      </c>
      <c r="G14" s="21">
        <f>F14-E14</f>
        <v>1.0872596533333336</v>
      </c>
    </row>
    <row r="15" spans="2:13" x14ac:dyDescent="0.25">
      <c r="B15" s="18">
        <v>5</v>
      </c>
      <c r="C15" s="14">
        <v>0.9</v>
      </c>
      <c r="D15" s="20">
        <f>SUM('Component consumptions'!V3:V87)</f>
        <v>3.1</v>
      </c>
      <c r="E15" s="20">
        <f t="shared" ref="E15:E16" si="3">B15*D15</f>
        <v>15.5</v>
      </c>
      <c r="F15" s="20">
        <f t="shared" ref="F15:F16" si="4">E15/C15</f>
        <v>17.222222222222221</v>
      </c>
      <c r="G15" s="21">
        <f t="shared" ref="G15:G16" si="5">F15-E15</f>
        <v>1.7222222222222214</v>
      </c>
    </row>
    <row r="16" spans="2:13" ht="15.75" thickBot="1" x14ac:dyDescent="0.3">
      <c r="B16" s="19">
        <v>7</v>
      </c>
      <c r="C16" s="15">
        <v>0.9</v>
      </c>
      <c r="D16" s="22">
        <f>SUM('Component consumptions'!W3:W87)</f>
        <v>0.5</v>
      </c>
      <c r="E16" s="20">
        <f t="shared" si="3"/>
        <v>3.5</v>
      </c>
      <c r="F16" s="20">
        <f t="shared" si="4"/>
        <v>3.8888888888888888</v>
      </c>
      <c r="G16" s="21">
        <f t="shared" si="5"/>
        <v>0.38888888888888884</v>
      </c>
    </row>
    <row r="17" spans="2:7" s="2" customFormat="1" ht="36.75" customHeight="1" x14ac:dyDescent="0.25">
      <c r="B17" s="6"/>
      <c r="C17" s="7" t="s">
        <v>12</v>
      </c>
      <c r="D17" s="7" t="s">
        <v>18</v>
      </c>
      <c r="E17" s="7" t="s">
        <v>10</v>
      </c>
      <c r="F17" s="7" t="s">
        <v>19</v>
      </c>
      <c r="G17" s="8" t="s">
        <v>20</v>
      </c>
    </row>
    <row r="18" spans="2:7" x14ac:dyDescent="0.25">
      <c r="B18" s="10" t="s">
        <v>16</v>
      </c>
      <c r="C18" s="20">
        <f>SUM(F14:F16)</f>
        <v>31.98370764444444</v>
      </c>
      <c r="D18" s="16">
        <v>24</v>
      </c>
      <c r="E18" s="20">
        <f>C18/D18</f>
        <v>1.3326544851851849</v>
      </c>
      <c r="F18" s="20">
        <f>C18*$M$4</f>
        <v>127.93483057777776</v>
      </c>
      <c r="G18" s="21">
        <f>E18*$M$4</f>
        <v>5.3306179407407397</v>
      </c>
    </row>
    <row r="19" spans="2:7" ht="15.75" thickBot="1" x14ac:dyDescent="0.3">
      <c r="B19" s="11" t="s">
        <v>17</v>
      </c>
      <c r="C19" s="22">
        <f>C18*1.1</f>
        <v>35.182078408888884</v>
      </c>
      <c r="D19" s="17">
        <v>24</v>
      </c>
      <c r="E19" s="27">
        <f>C19/D19</f>
        <v>1.4659199337037034</v>
      </c>
      <c r="F19" s="22">
        <f>C19*$M$4</f>
        <v>140.72831363555554</v>
      </c>
      <c r="G19" s="23">
        <f>E19*$M$4</f>
        <v>5.8636797348148137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Component consumptions</vt:lpstr>
      <vt:lpstr>Regulator dissipation and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Mimoso Acúrcio Marco</dc:creator>
  <cp:lastModifiedBy>Mimoso Acúrcio Marco</cp:lastModifiedBy>
  <dcterms:created xsi:type="dcterms:W3CDTF">2026-05-13T04:07:44Z</dcterms:created>
  <dcterms:modified xsi:type="dcterms:W3CDTF">2026-05-15T18:09:30Z</dcterms:modified>
</cp:coreProperties>
</file>